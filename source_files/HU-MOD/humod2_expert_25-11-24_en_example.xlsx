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C:\Users\gh3270\Nextcloud\Working Folder\Tools\HU-MOD\"/>
    </mc:Choice>
  </mc:AlternateContent>
  <xr:revisionPtr revIDLastSave="0" documentId="13_ncr:1_{29F547B9-5876-4741-BC58-CFEBB46F26E8}" xr6:coauthVersionLast="47" xr6:coauthVersionMax="47" xr10:uidLastSave="{00000000-0000-0000-0000-000000000000}"/>
  <bookViews>
    <workbookView xWindow="-28920" yWindow="-3915" windowWidth="29040" windowHeight="15720" tabRatio="591" activeTab="3" xr2:uid="{00000000-000D-0000-FFFF-FFFF00000000}"/>
  </bookViews>
  <sheets>
    <sheet name="HU-MOD-2_Explanations" sheetId="1" r:id="rId1"/>
    <sheet name="HU-MOD-2_Input data" sheetId="3" r:id="rId2"/>
    <sheet name="HU-MOD-2-Parameters_CROP" sheetId="4" r:id="rId3"/>
    <sheet name="HU-MOD-2-Parameters_FTLZ" sheetId="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38" i="5" l="1"/>
  <c r="AG5" i="4"/>
  <c r="DI12" i="3"/>
  <c r="DG12" i="3"/>
  <c r="BS12" i="3" s="1"/>
  <c r="DF12" i="3"/>
  <c r="DE12" i="3"/>
  <c r="CZ12" i="3"/>
  <c r="CX12" i="3"/>
  <c r="CW12" i="3"/>
  <c r="CV12" i="3"/>
  <c r="CY12" i="3" s="1"/>
  <c r="CT12" i="3"/>
  <c r="CS12" i="3"/>
  <c r="CR12" i="3"/>
  <c r="CQ12" i="3"/>
  <c r="CP12" i="3"/>
  <c r="CO12" i="3"/>
  <c r="CM12" i="3"/>
  <c r="CL12" i="3"/>
  <c r="CK12" i="3"/>
  <c r="CJ12" i="3"/>
  <c r="CI12" i="3"/>
  <c r="CH12" i="3"/>
  <c r="CG12" i="3"/>
  <c r="CF12" i="3"/>
  <c r="CE12" i="3"/>
  <c r="CD12" i="3"/>
  <c r="CC12" i="3"/>
  <c r="CB12" i="3"/>
  <c r="CA12" i="3"/>
  <c r="BZ12" i="3"/>
  <c r="BY12" i="3"/>
  <c r="CN12" i="3" s="1"/>
  <c r="BR12" i="3"/>
  <c r="DI11" i="3"/>
  <c r="DG11" i="3"/>
  <c r="DF11" i="3"/>
  <c r="DE11" i="3"/>
  <c r="DA11" i="3"/>
  <c r="CZ11" i="3"/>
  <c r="CX11" i="3"/>
  <c r="CW11" i="3"/>
  <c r="CV11" i="3"/>
  <c r="CY11" i="3" s="1"/>
  <c r="CT11" i="3"/>
  <c r="CS11" i="3"/>
  <c r="CR11" i="3"/>
  <c r="CQ11" i="3"/>
  <c r="CP11" i="3"/>
  <c r="CO11" i="3"/>
  <c r="CM11" i="3"/>
  <c r="CL11" i="3"/>
  <c r="CK11" i="3"/>
  <c r="CJ11" i="3"/>
  <c r="CI11" i="3"/>
  <c r="CH11" i="3"/>
  <c r="CG11" i="3"/>
  <c r="CF11" i="3"/>
  <c r="CE11" i="3"/>
  <c r="CD11" i="3"/>
  <c r="CC11" i="3"/>
  <c r="CB11" i="3"/>
  <c r="DB12" i="3" s="1"/>
  <c r="DC12" i="3" s="1"/>
  <c r="CA11" i="3"/>
  <c r="BZ11" i="3"/>
  <c r="BY11" i="3"/>
  <c r="CN11" i="3" s="1"/>
  <c r="DI10" i="3"/>
  <c r="DG10" i="3"/>
  <c r="DF10" i="3"/>
  <c r="DE10" i="3"/>
  <c r="DC10" i="3"/>
  <c r="DB10" i="3"/>
  <c r="CZ10" i="3"/>
  <c r="CX10" i="3"/>
  <c r="CW10" i="3"/>
  <c r="CV10" i="3"/>
  <c r="CY10" i="3" s="1"/>
  <c r="CT10" i="3"/>
  <c r="CS10" i="3"/>
  <c r="CR10" i="3"/>
  <c r="CU10" i="3" s="1"/>
  <c r="CQ10" i="3"/>
  <c r="CP10" i="3"/>
  <c r="CO10" i="3"/>
  <c r="CM10" i="3"/>
  <c r="CL10" i="3"/>
  <c r="CK10" i="3"/>
  <c r="CJ10" i="3"/>
  <c r="CI10" i="3"/>
  <c r="CH10" i="3"/>
  <c r="CG10" i="3"/>
  <c r="CF10" i="3"/>
  <c r="CE10" i="3"/>
  <c r="CD10" i="3"/>
  <c r="CC10" i="3"/>
  <c r="CB10" i="3"/>
  <c r="DB11" i="3" s="1"/>
  <c r="CA10" i="3"/>
  <c r="BZ10" i="3"/>
  <c r="BY10" i="3"/>
  <c r="CN10" i="3" s="1"/>
  <c r="BR10" i="3"/>
  <c r="DI9" i="3"/>
  <c r="DG9" i="3"/>
  <c r="BS9" i="3" s="1"/>
  <c r="DF9" i="3"/>
  <c r="DE9" i="3"/>
  <c r="DC9" i="3"/>
  <c r="DB9" i="3"/>
  <c r="CZ9" i="3"/>
  <c r="DA9" i="3" s="1"/>
  <c r="CX9" i="3"/>
  <c r="CW9" i="3"/>
  <c r="CV9" i="3"/>
  <c r="CY9" i="3" s="1"/>
  <c r="CT9" i="3"/>
  <c r="CS9" i="3"/>
  <c r="CR9" i="3"/>
  <c r="CQ9" i="3"/>
  <c r="CP9" i="3"/>
  <c r="CO9" i="3"/>
  <c r="CM9" i="3"/>
  <c r="CL9" i="3"/>
  <c r="CK9" i="3"/>
  <c r="CJ9" i="3"/>
  <c r="CI9" i="3"/>
  <c r="CH9" i="3"/>
  <c r="CG9" i="3"/>
  <c r="CF9" i="3"/>
  <c r="CE9" i="3"/>
  <c r="CD9" i="3"/>
  <c r="CC9" i="3"/>
  <c r="CB9" i="3"/>
  <c r="CA9" i="3"/>
  <c r="BZ9" i="3"/>
  <c r="BY9" i="3"/>
  <c r="CN9" i="3" s="1"/>
  <c r="BR9" i="3"/>
  <c r="DI8" i="3"/>
  <c r="DG8" i="3"/>
  <c r="BS8" i="3" s="1"/>
  <c r="DF8" i="3"/>
  <c r="DE8" i="3"/>
  <c r="DC8" i="3"/>
  <c r="DB8" i="3"/>
  <c r="CZ8" i="3"/>
  <c r="BW8" i="3" s="1"/>
  <c r="CX8" i="3"/>
  <c r="CW8" i="3"/>
  <c r="CV8" i="3"/>
  <c r="CY8" i="3" s="1"/>
  <c r="CT8" i="3"/>
  <c r="CS8" i="3"/>
  <c r="CR8" i="3"/>
  <c r="CU8" i="3" s="1"/>
  <c r="CQ8" i="3"/>
  <c r="CP8" i="3"/>
  <c r="CO8" i="3"/>
  <c r="CM8" i="3"/>
  <c r="CL8" i="3"/>
  <c r="CK8" i="3"/>
  <c r="CJ8" i="3"/>
  <c r="CI8" i="3"/>
  <c r="CH8" i="3"/>
  <c r="CG8" i="3"/>
  <c r="CF8" i="3"/>
  <c r="CE8" i="3"/>
  <c r="CD8" i="3"/>
  <c r="CC8" i="3"/>
  <c r="CB8" i="3"/>
  <c r="CA8" i="3"/>
  <c r="BZ8" i="3"/>
  <c r="BY8" i="3"/>
  <c r="CN8" i="3" s="1"/>
  <c r="BR8" i="3"/>
  <c r="DI7" i="3"/>
  <c r="DG7" i="3"/>
  <c r="DF7" i="3"/>
  <c r="DE7" i="3"/>
  <c r="DC7" i="3"/>
  <c r="DB7" i="3"/>
  <c r="CZ7" i="3"/>
  <c r="CX7" i="3"/>
  <c r="CW7" i="3"/>
  <c r="CV7" i="3"/>
  <c r="CY7" i="3" s="1"/>
  <c r="CT7" i="3"/>
  <c r="CS7" i="3"/>
  <c r="CR7" i="3"/>
  <c r="CU7" i="3" s="1"/>
  <c r="CQ7" i="3"/>
  <c r="CP7" i="3"/>
  <c r="CO7" i="3"/>
  <c r="CM7" i="3"/>
  <c r="CL7" i="3"/>
  <c r="CK7" i="3"/>
  <c r="CJ7" i="3"/>
  <c r="CI7" i="3"/>
  <c r="CH7" i="3"/>
  <c r="CG7" i="3"/>
  <c r="CF7" i="3"/>
  <c r="CE7" i="3"/>
  <c r="CD7" i="3"/>
  <c r="CC7" i="3"/>
  <c r="CB7" i="3"/>
  <c r="CA7" i="3"/>
  <c r="BZ7" i="3"/>
  <c r="BY7" i="3"/>
  <c r="CN7" i="3" s="1"/>
  <c r="BR7" i="3"/>
  <c r="DI6" i="3"/>
  <c r="DG6" i="3"/>
  <c r="BS6" i="3" s="1"/>
  <c r="DF6" i="3"/>
  <c r="DE6" i="3"/>
  <c r="DA6" i="3"/>
  <c r="CZ6" i="3"/>
  <c r="CX6" i="3"/>
  <c r="CW6" i="3"/>
  <c r="CV6" i="3"/>
  <c r="CY6" i="3" s="1"/>
  <c r="CT6" i="3"/>
  <c r="CS6" i="3"/>
  <c r="CR6" i="3"/>
  <c r="CU6" i="3" s="1"/>
  <c r="CQ6" i="3"/>
  <c r="CP6" i="3"/>
  <c r="CO6" i="3"/>
  <c r="CM6" i="3"/>
  <c r="CL6" i="3"/>
  <c r="CK6" i="3"/>
  <c r="CJ6" i="3"/>
  <c r="CI6" i="3"/>
  <c r="CH6" i="3"/>
  <c r="CG6" i="3"/>
  <c r="CF6" i="3"/>
  <c r="CE6" i="3"/>
  <c r="CD6" i="3"/>
  <c r="CC6" i="3"/>
  <c r="CB6" i="3"/>
  <c r="CA6" i="3"/>
  <c r="BZ6" i="3"/>
  <c r="BY6" i="3"/>
  <c r="CN6" i="3" s="1"/>
  <c r="BR6" i="3"/>
  <c r="CY5" i="3"/>
  <c r="H15" i="5"/>
  <c r="DI5" i="3"/>
  <c r="DG5" i="3"/>
  <c r="DF5" i="3"/>
  <c r="DE5" i="3"/>
  <c r="DC5" i="3"/>
  <c r="DB5" i="3"/>
  <c r="DA5" i="3"/>
  <c r="CZ5" i="3"/>
  <c r="CX5" i="3"/>
  <c r="CW5" i="3"/>
  <c r="CV5" i="3"/>
  <c r="CT5" i="3"/>
  <c r="CS5" i="3"/>
  <c r="CR5" i="3"/>
  <c r="CQ5" i="3"/>
  <c r="CP5" i="3"/>
  <c r="CO5" i="3"/>
  <c r="CM5" i="3"/>
  <c r="CL5" i="3"/>
  <c r="CK5" i="3"/>
  <c r="CJ5" i="3"/>
  <c r="CI5" i="3"/>
  <c r="CH5" i="3"/>
  <c r="CG5" i="3"/>
  <c r="CF5" i="3"/>
  <c r="CE5" i="3"/>
  <c r="CD5" i="3"/>
  <c r="CC5" i="3"/>
  <c r="CB5" i="3"/>
  <c r="DB6" i="3" s="1"/>
  <c r="DC6" i="3" s="1"/>
  <c r="CA5" i="3"/>
  <c r="BZ5" i="3"/>
  <c r="BY5" i="3"/>
  <c r="CN5" i="3" s="1"/>
  <c r="DA3" i="3"/>
  <c r="DI2" i="3"/>
  <c r="BW5" i="3" l="1"/>
  <c r="BS5" i="3"/>
  <c r="BS7" i="3"/>
  <c r="BS10" i="3"/>
  <c r="BW10" i="3"/>
  <c r="BW7" i="3"/>
  <c r="DA12" i="3"/>
  <c r="BT5" i="3"/>
  <c r="DA10" i="3"/>
  <c r="BU9" i="3"/>
  <c r="DA8" i="3"/>
  <c r="DA7" i="3"/>
  <c r="BW9" i="3"/>
  <c r="BU7" i="3"/>
  <c r="BW6" i="3"/>
  <c r="BW11" i="3"/>
  <c r="BU10" i="3"/>
  <c r="BS11" i="3"/>
  <c r="BW12" i="3"/>
  <c r="BV11" i="3"/>
  <c r="BU12" i="3"/>
  <c r="CU12" i="3"/>
  <c r="BR11" i="3"/>
  <c r="CU11" i="3"/>
  <c r="BV12" i="3"/>
  <c r="BT12" i="3"/>
  <c r="BO12" i="3"/>
  <c r="BT11" i="3"/>
  <c r="BU11" i="3"/>
  <c r="DC11" i="3"/>
  <c r="BO11" i="3"/>
  <c r="BV10" i="3"/>
  <c r="BT10" i="3"/>
  <c r="BO10" i="3"/>
  <c r="BV9" i="3"/>
  <c r="BO9" i="3"/>
  <c r="BT9" i="3"/>
  <c r="CU9" i="3"/>
  <c r="BT8" i="3"/>
  <c r="BV8" i="3"/>
  <c r="BU8" i="3"/>
  <c r="BO8" i="3"/>
  <c r="BV7" i="3"/>
  <c r="BT7" i="3"/>
  <c r="BO7" i="3"/>
  <c r="BV6" i="3"/>
  <c r="BT6" i="3"/>
  <c r="BU6" i="3"/>
  <c r="BO6" i="3"/>
  <c r="CU5" i="3"/>
  <c r="BO5" i="3"/>
  <c r="BV5" i="3"/>
  <c r="BR5" i="3"/>
  <c r="Z29" i="5"/>
  <c r="Y29" i="5"/>
  <c r="BJ9" i="3" l="1"/>
  <c r="BJ7" i="3"/>
  <c r="BQ5" i="3"/>
  <c r="BP5" i="3" s="1"/>
  <c r="BI5" i="3" s="1"/>
  <c r="BJ12" i="3"/>
  <c r="BJ11" i="3"/>
  <c r="BJ10" i="3"/>
  <c r="BQ12" i="3"/>
  <c r="BP12" i="3" s="1"/>
  <c r="BI12" i="3" s="1"/>
  <c r="BQ11" i="3"/>
  <c r="BP11" i="3" s="1"/>
  <c r="BI11" i="3" s="1"/>
  <c r="BQ10" i="3"/>
  <c r="BP10" i="3" s="1"/>
  <c r="BI10" i="3" s="1"/>
  <c r="BQ9" i="3"/>
  <c r="BP9" i="3" s="1"/>
  <c r="BI9" i="3" s="1"/>
  <c r="BQ8" i="3"/>
  <c r="BP8" i="3" s="1"/>
  <c r="BI8" i="3" s="1"/>
  <c r="BJ8" i="3"/>
  <c r="BQ7" i="3"/>
  <c r="BP7" i="3" s="1"/>
  <c r="BI7" i="3" s="1"/>
  <c r="BQ6" i="3"/>
  <c r="BP6" i="3" s="1"/>
  <c r="BI6" i="3" s="1"/>
  <c r="BJ6" i="3"/>
  <c r="DI4" i="3"/>
  <c r="DG4" i="3"/>
  <c r="BS4" i="3" s="1"/>
  <c r="DF4" i="3"/>
  <c r="DE4" i="3"/>
  <c r="DC4" i="3"/>
  <c r="DB4" i="3"/>
  <c r="DA4" i="3"/>
  <c r="CZ4" i="3"/>
  <c r="CX4" i="3"/>
  <c r="CW4" i="3"/>
  <c r="CV4" i="3"/>
  <c r="CY4" i="3" s="1"/>
  <c r="CT4" i="3"/>
  <c r="CS4" i="3"/>
  <c r="CR4" i="3"/>
  <c r="CU4" i="3" s="1"/>
  <c r="CQ4" i="3"/>
  <c r="CP4" i="3"/>
  <c r="CO4" i="3"/>
  <c r="CM4" i="3"/>
  <c r="CL4" i="3"/>
  <c r="CK4" i="3"/>
  <c r="CJ4" i="3"/>
  <c r="CI4" i="3"/>
  <c r="CH4" i="3"/>
  <c r="CG4" i="3"/>
  <c r="CF4" i="3"/>
  <c r="CE4" i="3"/>
  <c r="CD4" i="3"/>
  <c r="CC4" i="3"/>
  <c r="CB4" i="3"/>
  <c r="CA4" i="3"/>
  <c r="BZ4" i="3"/>
  <c r="BY4" i="3"/>
  <c r="BR4" i="3"/>
  <c r="DI3" i="3"/>
  <c r="BR3" i="3" s="1"/>
  <c r="DG3" i="3"/>
  <c r="DF3" i="3"/>
  <c r="DE3" i="3"/>
  <c r="DC3" i="3"/>
  <c r="DB3" i="3"/>
  <c r="BW3" i="3" s="1"/>
  <c r="CZ3" i="3"/>
  <c r="CX3" i="3"/>
  <c r="CW3" i="3"/>
  <c r="CV3" i="3"/>
  <c r="CY3" i="3" s="1"/>
  <c r="CT3" i="3"/>
  <c r="CS3" i="3"/>
  <c r="CR3" i="3"/>
  <c r="CU3" i="3" s="1"/>
  <c r="CQ3" i="3"/>
  <c r="CP3" i="3"/>
  <c r="CO3" i="3"/>
  <c r="CM3" i="3"/>
  <c r="CL3" i="3"/>
  <c r="CK3" i="3"/>
  <c r="CJ3" i="3"/>
  <c r="CI3" i="3"/>
  <c r="CH3" i="3"/>
  <c r="CG3" i="3"/>
  <c r="CF3" i="3"/>
  <c r="CE3" i="3"/>
  <c r="CD3" i="3"/>
  <c r="CC3" i="3"/>
  <c r="CB3" i="3"/>
  <c r="CA3" i="3"/>
  <c r="BZ3" i="3"/>
  <c r="BY3" i="3"/>
  <c r="CN3" i="3" s="1"/>
  <c r="BK9" i="3" l="1"/>
  <c r="BL9" i="3" s="1"/>
  <c r="CN4" i="3"/>
  <c r="BO4" i="3" s="1"/>
  <c r="BU5" i="3"/>
  <c r="BJ5" i="3" s="1"/>
  <c r="BK5" i="3" s="1"/>
  <c r="BL5" i="3" s="1"/>
  <c r="BN5" i="3" s="1"/>
  <c r="BK10" i="3"/>
  <c r="BM9" i="3" s="1"/>
  <c r="BK7" i="3"/>
  <c r="BL7" i="3" s="1"/>
  <c r="BK12" i="3"/>
  <c r="BM12" i="3" s="1"/>
  <c r="BK11" i="3"/>
  <c r="BL11" i="3" s="1"/>
  <c r="BM11" i="3"/>
  <c r="BK8" i="3"/>
  <c r="BK6" i="3"/>
  <c r="BS3" i="3"/>
  <c r="BO3" i="3"/>
  <c r="BW4" i="3"/>
  <c r="BU4" i="3"/>
  <c r="BT3" i="3"/>
  <c r="BV3" i="3"/>
  <c r="S19" i="5"/>
  <c r="S35" i="5"/>
  <c r="S36" i="5"/>
  <c r="S38" i="5"/>
  <c r="S39" i="5"/>
  <c r="S40" i="5"/>
  <c r="S41" i="5"/>
  <c r="S34" i="5"/>
  <c r="BM8" i="3" l="1"/>
  <c r="BT4" i="3"/>
  <c r="BV4" i="3"/>
  <c r="BL10" i="3"/>
  <c r="BN10" i="3" s="1"/>
  <c r="BL12" i="3"/>
  <c r="BN12" i="3" s="1"/>
  <c r="BM10" i="3"/>
  <c r="BN11" i="3"/>
  <c r="BN9" i="3"/>
  <c r="BM7" i="3"/>
  <c r="BL8" i="3"/>
  <c r="BN7" i="3" s="1"/>
  <c r="BM6" i="3"/>
  <c r="BL6" i="3"/>
  <c r="BN6" i="3" s="1"/>
  <c r="BM5" i="3"/>
  <c r="BQ3" i="3"/>
  <c r="BP3" i="3" s="1"/>
  <c r="BI3" i="3" s="1"/>
  <c r="BQ4" i="3"/>
  <c r="BP4" i="3" s="1"/>
  <c r="BI4" i="3" s="1"/>
  <c r="G28" i="5"/>
  <c r="S28" i="5" s="1"/>
  <c r="G29" i="5"/>
  <c r="S29" i="5" s="1"/>
  <c r="BJ4" i="3" l="1"/>
  <c r="BK4" i="3" s="1"/>
  <c r="BM4" i="3" s="1"/>
  <c r="BN8" i="3"/>
  <c r="DC2" i="3"/>
  <c r="DA2" i="3"/>
  <c r="H50" i="5"/>
  <c r="H49" i="5"/>
  <c r="H41" i="5"/>
  <c r="H40" i="5"/>
  <c r="H39" i="5"/>
  <c r="H38" i="5"/>
  <c r="H36" i="5"/>
  <c r="H35" i="5"/>
  <c r="H29" i="5"/>
  <c r="H28" i="5"/>
  <c r="H21" i="5"/>
  <c r="H20" i="5"/>
  <c r="H19" i="5"/>
  <c r="H18" i="5"/>
  <c r="H17" i="5"/>
  <c r="H16" i="5"/>
  <c r="H5" i="5"/>
  <c r="BL4" i="3" l="1"/>
  <c r="BN4" i="3" s="1"/>
  <c r="L41" i="5"/>
  <c r="N41" i="5" s="1"/>
  <c r="K41" i="5"/>
  <c r="L40" i="5"/>
  <c r="N40" i="5" s="1"/>
  <c r="K40" i="5"/>
  <c r="L39" i="5"/>
  <c r="K39" i="5"/>
  <c r="T39" i="5" s="1"/>
  <c r="L38" i="5"/>
  <c r="N38" i="5" s="1"/>
  <c r="K38" i="5"/>
  <c r="L36" i="5"/>
  <c r="N36" i="5" s="1"/>
  <c r="K36" i="5"/>
  <c r="L35" i="5"/>
  <c r="N35" i="5" s="1"/>
  <c r="K35" i="5"/>
  <c r="L34" i="5"/>
  <c r="N34" i="5" s="1"/>
  <c r="K34" i="5"/>
  <c r="K33" i="5"/>
  <c r="L29" i="5"/>
  <c r="K29" i="5"/>
  <c r="T29" i="5" s="1"/>
  <c r="L28" i="5"/>
  <c r="K28" i="5"/>
  <c r="T28" i="5" s="1"/>
  <c r="L19" i="5"/>
  <c r="K19" i="5"/>
  <c r="J34" i="5" l="1"/>
  <c r="O35" i="5"/>
  <c r="O40" i="5"/>
  <c r="O36" i="5"/>
  <c r="M34" i="5"/>
  <c r="O34" i="5"/>
  <c r="T38" i="5"/>
  <c r="O38" i="5"/>
  <c r="M41" i="5"/>
  <c r="O41" i="5"/>
  <c r="N19" i="5"/>
  <c r="O19" i="5" s="1"/>
  <c r="N29" i="5"/>
  <c r="P29" i="5" s="1"/>
  <c r="N39" i="5"/>
  <c r="O39" i="5" s="1"/>
  <c r="N28" i="5"/>
  <c r="O28" i="5" s="1"/>
  <c r="M40" i="5"/>
  <c r="M35" i="5"/>
  <c r="M38" i="5"/>
  <c r="M29" i="5"/>
  <c r="M36" i="5"/>
  <c r="M19" i="5"/>
  <c r="M28" i="5"/>
  <c r="M39" i="5"/>
  <c r="P28" i="5" l="1"/>
  <c r="O29" i="5"/>
  <c r="P19" i="5"/>
  <c r="U38" i="5" s="1"/>
  <c r="U29" i="5" l="1"/>
  <c r="U39" i="5"/>
  <c r="U28" i="5"/>
  <c r="J29" i="5"/>
  <c r="J39" i="5"/>
  <c r="Q28" i="5"/>
  <c r="Q38" i="5"/>
  <c r="J41" i="5"/>
  <c r="J36" i="5"/>
  <c r="Q39" i="5"/>
  <c r="J40" i="5"/>
  <c r="J35" i="5"/>
  <c r="J28" i="5"/>
  <c r="AG44" i="4" l="1"/>
  <c r="AG62" i="4"/>
  <c r="AG43" i="4"/>
  <c r="AG61" i="4"/>
  <c r="AG35" i="4"/>
  <c r="AG60" i="4"/>
  <c r="AG34" i="4"/>
  <c r="AG45" i="4"/>
  <c r="AG71" i="4"/>
  <c r="AG31" i="4"/>
  <c r="AG24" i="4"/>
  <c r="AG40" i="4"/>
  <c r="AG36" i="4"/>
  <c r="AG30" i="4"/>
  <c r="AG42" i="4"/>
  <c r="AG19" i="4"/>
  <c r="AG39" i="4"/>
  <c r="AG32" i="4"/>
  <c r="AG29" i="4"/>
  <c r="AG41" i="4"/>
  <c r="AG38" i="4"/>
  <c r="AG17" i="4"/>
  <c r="AG16" i="4"/>
  <c r="AG7" i="4"/>
  <c r="AG8" i="4"/>
  <c r="AG15" i="4"/>
  <c r="AG9" i="4"/>
  <c r="AG11" i="4"/>
  <c r="AG10" i="4"/>
  <c r="AG6" i="4"/>
  <c r="AG18" i="4"/>
  <c r="AG13" i="4"/>
  <c r="AG14" i="4"/>
  <c r="AG12" i="4"/>
  <c r="BR2" i="3" l="1"/>
  <c r="DG2" i="3"/>
  <c r="DF2" i="3"/>
  <c r="DE2" i="3"/>
  <c r="DB2" i="3"/>
  <c r="CZ2" i="3"/>
  <c r="CX2" i="3"/>
  <c r="CW2" i="3"/>
  <c r="CV2" i="3"/>
  <c r="CY2" i="3" s="1"/>
  <c r="CT2" i="3"/>
  <c r="CS2" i="3"/>
  <c r="CR2" i="3"/>
  <c r="CU2" i="3" s="1"/>
  <c r="CQ2" i="3"/>
  <c r="CP2" i="3"/>
  <c r="CO2" i="3"/>
  <c r="CM2" i="3"/>
  <c r="CL2" i="3"/>
  <c r="CK2" i="3"/>
  <c r="CJ2" i="3"/>
  <c r="CI2" i="3"/>
  <c r="CH2" i="3"/>
  <c r="CG2" i="3"/>
  <c r="CF2" i="3"/>
  <c r="CE2" i="3"/>
  <c r="CD2" i="3"/>
  <c r="CC2" i="3"/>
  <c r="CB2" i="3"/>
  <c r="CA2" i="3"/>
  <c r="BZ2" i="3"/>
  <c r="BY2" i="3"/>
  <c r="BU3" i="3" l="1"/>
  <c r="BJ3" i="3" s="1"/>
  <c r="BK3" i="3" s="1"/>
  <c r="BW2" i="3"/>
  <c r="L33" i="5"/>
  <c r="S33" i="5"/>
  <c r="H33" i="5"/>
  <c r="M33" i="5"/>
  <c r="CN2" i="3"/>
  <c r="BT2" i="3" s="1"/>
  <c r="BS2" i="3"/>
  <c r="BU2" i="3"/>
  <c r="BL3" i="3" l="1"/>
  <c r="BN3" i="3" s="1"/>
  <c r="BM3" i="3"/>
  <c r="BV2" i="3"/>
  <c r="BJ2" i="3" s="1"/>
  <c r="N33" i="5"/>
  <c r="O33" i="5" s="1"/>
  <c r="J33" i="5"/>
  <c r="BO2" i="3"/>
  <c r="BQ2" i="3" s="1"/>
  <c r="BP2" i="3" s="1"/>
  <c r="BI2" i="3" l="1"/>
  <c r="BK2" i="3" s="1"/>
  <c r="BL2" i="3" l="1"/>
  <c r="BM2" i="3"/>
  <c r="BN2" i="3" l="1"/>
  <c r="F22" i="5" l="1"/>
  <c r="H22" i="5" s="1"/>
  <c r="E22" i="5"/>
  <c r="AD100" i="4"/>
  <c r="AC100" i="4"/>
  <c r="AB100" i="4"/>
  <c r="AE86" i="4"/>
  <c r="AD86" i="4"/>
  <c r="AC86" i="4"/>
  <c r="AB86" i="4"/>
  <c r="K86" i="4"/>
  <c r="I86" i="4"/>
  <c r="G86" i="4"/>
  <c r="E8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tc={AB228D15-ED08-4B65-B151-2B806247A009}</author>
    <author>tc={D531AEC3-C47C-4F43-9AA6-F24B2A87A324}</author>
    <author>tc={94588891-8AF6-4442-967B-16DA494D6DDF}</author>
    <author>tc={C2E5E4EE-7013-458B-B19C-8B1143C4175C}</author>
    <author>tc={155029BE-C2A2-4208-9700-ECDBD7F2E54D}</author>
    <author>tc={7FE87E67-A3C0-4E77-84AF-05E8848F3707}</author>
  </authors>
  <commentList>
    <comment ref="AE5" authorId="0" shapeId="0" xr:uid="{AB228D15-ED08-4B65-B151-2B806247A009}">
      <text>
        <t>[Threaded comment]
Your version of Excel allows you to read this threaded comment; however, any edits to it will get removed if the file is opened in a newer version of Excel. Learn more: https://go.microsoft.com/fwlink/?linkid=870924
Comment:
    You only need to specify this for crops where the side product is harvestable. This includes cereals and grain legumes, but also sugar beets etc. NOT clover grass, potatos, catch crops etc.</t>
      </text>
    </comment>
    <comment ref="BL6" authorId="1" shapeId="0" xr:uid="{D531AEC3-C47C-4F43-9AA6-F24B2A87A324}">
      <text>
        <t>[Threaded comment]
Your version of Excel allows you to read this threaded comment; however, any edits to it will get removed if the file is opened in a newer version of Excel. Learn more: https://go.microsoft.com/fwlink/?linkid=870924
Comment:
    Later, You must calculate the annual mean for the clover grass by hand - sorry. If there are only 2 crops in a year, the model calculates the annual mean in column BM/BN.</t>
      </text>
    </comment>
    <comment ref="AC9" authorId="2" shapeId="0" xr:uid="{94588891-8AF6-4442-967B-16DA494D6DDF}">
      <text>
        <t>[Threaded comment]
Your version of Excel allows you to read this threaded comment; however, any edits to it will get removed if the file is opened in a newer version of Excel. Learn more: https://go.microsoft.com/fwlink/?linkid=870924
Comment:
    This cut is left as mulch and will fertilize the next crop. You can see this in parameter NFTLZ (column BK).</t>
      </text>
    </comment>
    <comment ref="BN10" authorId="3" shapeId="0" xr:uid="{C2E5E4EE-7013-458B-B19C-8B1143C4175C}">
      <text>
        <t>[Threaded comment]
Your version of Excel allows you to read this threaded comment; however, any edits to it will get removed if the file is opened in a newer version of Excel. Learn more: https://go.microsoft.com/fwlink/?linkid=870924
Comment:
    This is a calculated annual mean for wheat+catch crop. However, the calculation does not work with more than 2 crops at the moment...</t>
      </text>
    </comment>
    <comment ref="R11" authorId="4" shapeId="0" xr:uid="{155029BE-C2A2-4208-9700-ECDBD7F2E54D}">
      <text>
        <t>[Threaded comment]
Your version of Excel allows you to read this threaded comment; however, any edits to it will get removed if the file is opened in a newer version of Excel. Learn more: https://go.microsoft.com/fwlink/?linkid=870924
Comment:
    This is MG again. With slurry, 1 cubic meter can be assumed to equal 1 MG.</t>
      </text>
    </comment>
    <comment ref="AC11" authorId="5" shapeId="0" xr:uid="{7FE87E67-A3C0-4E77-84AF-05E8848F3707}">
      <text>
        <t>[Threaded comment]
Your version of Excel allows you to read this threaded comment; however, any edits to it will get removed if the file is opened in a newer version of Excel. Learn more: https://go.microsoft.com/fwlink/?linkid=870924
Comment:
    The catch crop is ploughed under and fertilizes the next crop (NFTLZ, column BK).</t>
      </text>
    </comment>
  </commentList>
</comments>
</file>

<file path=xl/sharedStrings.xml><?xml version="1.0" encoding="utf-8"?>
<sst xmlns="http://schemas.openxmlformats.org/spreadsheetml/2006/main" count="1060" uniqueCount="473">
  <si>
    <t>HU-MOD-2</t>
  </si>
  <si>
    <t>List of parameters</t>
  </si>
  <si>
    <t>Column No.</t>
  </si>
  <si>
    <t>ID_1</t>
  </si>
  <si>
    <t>optional</t>
  </si>
  <si>
    <t>ID_2</t>
  </si>
  <si>
    <t>ID_3</t>
  </si>
  <si>
    <t>ID_4</t>
  </si>
  <si>
    <t>decimal rate</t>
  </si>
  <si>
    <r>
      <t>kg N ha</t>
    </r>
    <r>
      <rPr>
        <vertAlign val="superscript"/>
        <sz val="11"/>
        <color rgb="FF000000"/>
        <rFont val="Calibri"/>
        <family val="2"/>
        <charset val="1"/>
      </rPr>
      <t>-1</t>
    </r>
  </si>
  <si>
    <t>Year</t>
  </si>
  <si>
    <t>CROP_ID</t>
  </si>
  <si>
    <t>ID</t>
  </si>
  <si>
    <t>Leg_share</t>
  </si>
  <si>
    <r>
      <t>MG FM ha</t>
    </r>
    <r>
      <rPr>
        <vertAlign val="superscript"/>
        <sz val="11"/>
        <color rgb="FF000000"/>
        <rFont val="Calibri"/>
        <family val="2"/>
        <charset val="1"/>
      </rPr>
      <t>-1</t>
    </r>
  </si>
  <si>
    <t>Y/N</t>
  </si>
  <si>
    <t>NDFA</t>
  </si>
  <si>
    <t>NYRN</t>
  </si>
  <si>
    <t>SOMLOSS</t>
  </si>
  <si>
    <r>
      <t>kg SOM-C ha</t>
    </r>
    <r>
      <rPr>
        <vertAlign val="superscript"/>
        <sz val="11"/>
        <color rgb="FF000000"/>
        <rFont val="Calibri"/>
        <family val="2"/>
        <charset val="1"/>
      </rPr>
      <t>-1</t>
    </r>
  </si>
  <si>
    <t>SOMSUP</t>
  </si>
  <si>
    <r>
      <t>kg SOM-n ha</t>
    </r>
    <r>
      <rPr>
        <vertAlign val="superscript"/>
        <sz val="11"/>
        <color rgb="FF000000"/>
        <rFont val="Calibri"/>
        <family val="2"/>
        <charset val="1"/>
      </rPr>
      <t>-1</t>
    </r>
  </si>
  <si>
    <t>NPB</t>
  </si>
  <si>
    <t>NFTLZ</t>
  </si>
  <si>
    <t>NDEP</t>
  </si>
  <si>
    <t>CSUP_HR</t>
  </si>
  <si>
    <r>
      <t>kg C ha</t>
    </r>
    <r>
      <rPr>
        <vertAlign val="superscript"/>
        <sz val="11"/>
        <color rgb="FF000000"/>
        <rFont val="Calibri"/>
        <family val="2"/>
        <charset val="1"/>
      </rPr>
      <t>-1</t>
    </r>
  </si>
  <si>
    <t>CSUP_FTLZ</t>
  </si>
  <si>
    <t>NSUP_HR</t>
  </si>
  <si>
    <t>Cut</t>
  </si>
  <si>
    <t>LUFA-U</t>
  </si>
  <si>
    <t>LUFA-O</t>
  </si>
  <si>
    <t>LUFA-SUP</t>
  </si>
  <si>
    <t>COPY COLUMNS  Y…AK and BA…BT   of this line to every line with a data record!</t>
  </si>
  <si>
    <t>N</t>
  </si>
  <si>
    <t>DMMP</t>
  </si>
  <si>
    <t>MPC</t>
  </si>
  <si>
    <t>MPN</t>
  </si>
  <si>
    <t>RATIO_SPMP</t>
  </si>
  <si>
    <t>DMSP</t>
  </si>
  <si>
    <t>SPC</t>
  </si>
  <si>
    <t>SPN</t>
  </si>
  <si>
    <t>RATIO_LITMP</t>
  </si>
  <si>
    <t>LITDM</t>
  </si>
  <si>
    <t>LITC</t>
  </si>
  <si>
    <t>LITN</t>
  </si>
  <si>
    <t>RATIO_STBMP</t>
  </si>
  <si>
    <t>STBDM</t>
  </si>
  <si>
    <t>STBC</t>
  </si>
  <si>
    <t>STBN</t>
  </si>
  <si>
    <t>RATIO_ROSH</t>
  </si>
  <si>
    <t>RTSDM</t>
  </si>
  <si>
    <t>RTSC</t>
  </si>
  <si>
    <t>RTSN</t>
  </si>
  <si>
    <t>NAV</t>
  </si>
  <si>
    <t>LUFA-ÖKO</t>
  </si>
  <si>
    <t>Ertrag_Default</t>
  </si>
  <si>
    <t>3</t>
  </si>
  <si>
    <t>CROP-ID</t>
  </si>
  <si>
    <t>ITEM_IX-humult</t>
  </si>
  <si>
    <t>Name GER</t>
  </si>
  <si>
    <t>Name ENG</t>
  </si>
  <si>
    <t>Faktor</t>
  </si>
  <si>
    <t>dt FM/ha</t>
  </si>
  <si>
    <t>Dummy</t>
  </si>
  <si>
    <t>Winterweizen</t>
  </si>
  <si>
    <t>Winter wheat</t>
  </si>
  <si>
    <t>Sommerweizen</t>
  </si>
  <si>
    <t>Summer wheat</t>
  </si>
  <si>
    <t>Winterkorn (Spelz, Dinkel)</t>
  </si>
  <si>
    <t>Winter Spelt</t>
  </si>
  <si>
    <t>Winterroggen</t>
  </si>
  <si>
    <t>Winter rye</t>
  </si>
  <si>
    <t>Sommerroggen</t>
  </si>
  <si>
    <t>Summer rye</t>
  </si>
  <si>
    <t>Wintergerste</t>
  </si>
  <si>
    <t>Winter barley</t>
  </si>
  <si>
    <t>Sommergerste</t>
  </si>
  <si>
    <t>Summer barley</t>
  </si>
  <si>
    <t>Sommerhafer</t>
  </si>
  <si>
    <t>Oats</t>
  </si>
  <si>
    <t>Wintertriticale</t>
  </si>
  <si>
    <t>Sommertriticale</t>
  </si>
  <si>
    <t>Div. Winterbrotgetr. (inkl. Korn, Mischungen)</t>
  </si>
  <si>
    <t>Winter cereals (not specified)</t>
  </si>
  <si>
    <t>Div. Sommerbrotgetr. (inkl. Mischungen)</t>
  </si>
  <si>
    <t>Summer cereals (not specified)</t>
  </si>
  <si>
    <t>Div. Winterfuttergetr. (inkl. Mischungen)</t>
  </si>
  <si>
    <t>Winter cereals for fodder or energy, harvest before maturity</t>
  </si>
  <si>
    <t>Div. Sommerfuttergetr. (inkl. Mischungen)</t>
  </si>
  <si>
    <t>Summer cereals for fodder or energy, harvest before maturity</t>
  </si>
  <si>
    <t>Wintergetreide und Körnerleguminosen, Leguminosenanteil 50%</t>
  </si>
  <si>
    <t>Mixture of winter cereals and grain legumes, legume share &gt;0.5</t>
  </si>
  <si>
    <t>Sommergetreide und Körnerleguminosen, Leguminosenanteil 50%</t>
  </si>
  <si>
    <t>Mixture of summer cereals and grain legumes, legume share &gt;0.5</t>
  </si>
  <si>
    <t>Mais: Körnermais, CCM, Kolbenschrot</t>
  </si>
  <si>
    <t>Grain maize</t>
  </si>
  <si>
    <t>Mais: Silomais, Trockenwürfel</t>
  </si>
  <si>
    <t>Silage maize</t>
  </si>
  <si>
    <t>Raps: Winterraps</t>
  </si>
  <si>
    <t>Raps: Sommerraps</t>
  </si>
  <si>
    <t>Lagerkartoffeln</t>
  </si>
  <si>
    <t>Potatos</t>
  </si>
  <si>
    <t>Rüben: Zuckerrüben</t>
  </si>
  <si>
    <t>Sugar beet</t>
  </si>
  <si>
    <t>Rüben: Futterrüben</t>
  </si>
  <si>
    <t>Fodder beet</t>
  </si>
  <si>
    <t>Sonnenblumen</t>
  </si>
  <si>
    <t>Sunflowers</t>
  </si>
  <si>
    <t>Lein</t>
  </si>
  <si>
    <t>Flax</t>
  </si>
  <si>
    <t>Winterackerbohnen</t>
  </si>
  <si>
    <t>Winter field beans</t>
  </si>
  <si>
    <t>Sommerackerbohnen</t>
  </si>
  <si>
    <t>Summer field beans</t>
  </si>
  <si>
    <t>Eiweisserbsen</t>
  </si>
  <si>
    <t>Soja</t>
  </si>
  <si>
    <t>Soy</t>
  </si>
  <si>
    <t>Diverse Körnerleguminosen</t>
  </si>
  <si>
    <t>Grain legumes (not specified)</t>
  </si>
  <si>
    <t>Kleegras, Luzernegras (Futter)</t>
  </si>
  <si>
    <t>Kleegras, Luzernegras (Mulch)</t>
  </si>
  <si>
    <t>Ackergras</t>
  </si>
  <si>
    <t>Grass</t>
  </si>
  <si>
    <t>Winterzwischenfrucht ohne Leguminosen bzw. WZF allg. (VDLUFA)</t>
  </si>
  <si>
    <t>Winter catch crop without legumes</t>
  </si>
  <si>
    <t>Sommerzwischenfrucht ohne Leguminosen bzw. SZF allg. (VDLUFA)</t>
  </si>
  <si>
    <t>Summer catch crop without legumes</t>
  </si>
  <si>
    <t>Zwischenfrucht mit 90% Leguminosenanteil</t>
  </si>
  <si>
    <t>Catch crop mixture, legume share &gt;0.9</t>
  </si>
  <si>
    <t>Untersaat mit 90% Leguminosenanteil</t>
  </si>
  <si>
    <t>Underseed, legume share &gt;0.9</t>
  </si>
  <si>
    <t>Durchwachsene Silphie</t>
  </si>
  <si>
    <t>Cup plant</t>
  </si>
  <si>
    <t>Topinambur</t>
  </si>
  <si>
    <t>Sudangras</t>
  </si>
  <si>
    <t>Sorghum-Hirse</t>
  </si>
  <si>
    <t>Grünroggen f. Biogas</t>
  </si>
  <si>
    <t>Energy rye</t>
  </si>
  <si>
    <t>Hafer+Leindotter</t>
  </si>
  <si>
    <t>Sorghumhirse+Mais</t>
  </si>
  <si>
    <t>NN</t>
  </si>
  <si>
    <t>Möhren</t>
  </si>
  <si>
    <t>Carrots</t>
  </si>
  <si>
    <t>Zwiebeln</t>
  </si>
  <si>
    <t>Onions</t>
  </si>
  <si>
    <t>Blumenkohl</t>
  </si>
  <si>
    <t>Cauliflower</t>
  </si>
  <si>
    <t>Brokkoli</t>
  </si>
  <si>
    <t>Fenchel</t>
  </si>
  <si>
    <t>Fennel</t>
  </si>
  <si>
    <t>Rote Beete</t>
  </si>
  <si>
    <t>Beetroot</t>
  </si>
  <si>
    <t>Sellerie</t>
  </si>
  <si>
    <t>Celery</t>
  </si>
  <si>
    <t>Kürbisse</t>
  </si>
  <si>
    <t>Pumpkins</t>
  </si>
  <si>
    <t>Blattsalat</t>
  </si>
  <si>
    <t>Lettuce</t>
  </si>
  <si>
    <t>Gemüse (ohne nähere Spezifikation, Parametrisierung als Mittelwert aus 1100 bis 1108)</t>
  </si>
  <si>
    <t>Vegetables (not specified)</t>
  </si>
  <si>
    <t>Kümmel</t>
  </si>
  <si>
    <t>Caraway</t>
  </si>
  <si>
    <t>Senf</t>
  </si>
  <si>
    <t>Mustard</t>
  </si>
  <si>
    <t>Gewürzpflanzen (ohne nähere Spezifikation, Parametrisierung als Mittelwert aus 1110 bis 1118)</t>
  </si>
  <si>
    <t>Herbs (not specified)</t>
  </si>
  <si>
    <t>Erdbeeren</t>
  </si>
  <si>
    <t>Strawberries</t>
  </si>
  <si>
    <t>ITEM_IX</t>
  </si>
  <si>
    <t>DMFert</t>
  </si>
  <si>
    <t>FertC</t>
  </si>
  <si>
    <t>FertN</t>
  </si>
  <si>
    <t>F_NFAV</t>
  </si>
  <si>
    <t>F_LUFA</t>
  </si>
  <si>
    <t>Vollgülle Milchvieh</t>
  </si>
  <si>
    <t>Cattle slurry</t>
  </si>
  <si>
    <t>Gülle kotarm</t>
  </si>
  <si>
    <t>cattle dung water</t>
  </si>
  <si>
    <t>Schweingülle Mast</t>
  </si>
  <si>
    <t>pig slurry</t>
  </si>
  <si>
    <t>Hühnertrockenkot</t>
  </si>
  <si>
    <t>poultry manure</t>
  </si>
  <si>
    <t>Rinder-Stallmist_frisch</t>
  </si>
  <si>
    <t>fresh cattle stable manure</t>
  </si>
  <si>
    <t>Rinder-Stallmist_verrottet (auch Feststoff aus Gülleseparierung)</t>
  </si>
  <si>
    <t>rotten cattle stable manure</t>
  </si>
  <si>
    <t>Rinder-Stallmist_kompostiert</t>
  </si>
  <si>
    <t>composted cattle stable manure</t>
  </si>
  <si>
    <t>Pferdemist</t>
  </si>
  <si>
    <t>horse stable manure</t>
  </si>
  <si>
    <t>Mischmist Pferde/Hühner</t>
  </si>
  <si>
    <t>mixed manure horses/poultry</t>
  </si>
  <si>
    <t>Gründüngung</t>
  </si>
  <si>
    <t>Green manure</t>
  </si>
  <si>
    <t>Fertigkompost</t>
  </si>
  <si>
    <t>Commercial compost</t>
  </si>
  <si>
    <t>Stroh</t>
  </si>
  <si>
    <t>Low N straw (cereals)</t>
  </si>
  <si>
    <t>Leguminosenstroh</t>
  </si>
  <si>
    <t>High N straw (grain legumes, rape, maize)</t>
  </si>
  <si>
    <t>Mineraldünger</t>
  </si>
  <si>
    <t>Mineral N fertilizer</t>
  </si>
  <si>
    <t>Haarmehlpellets</t>
  </si>
  <si>
    <t>Hair meal pellets</t>
  </si>
  <si>
    <t>Jauche</t>
  </si>
  <si>
    <t>Dung water (not specified)</t>
  </si>
  <si>
    <t>Biogasgülle</t>
  </si>
  <si>
    <t>Biogas slurry</t>
  </si>
  <si>
    <t>KLG-Silage</t>
  </si>
  <si>
    <t>Stallmist 2</t>
  </si>
  <si>
    <t>Kleegras-Kompost</t>
  </si>
  <si>
    <t>GD LUFA neu</t>
  </si>
  <si>
    <t>Stroh LUFA neu</t>
  </si>
  <si>
    <t>Leguminosenstroh LUFA neu</t>
  </si>
  <si>
    <t>LUFA-SUP_neu</t>
  </si>
  <si>
    <t>Ackerfutter ohne Leguminosen (Gras)</t>
  </si>
  <si>
    <t>C</t>
  </si>
  <si>
    <t>F_LUFA_neu</t>
  </si>
  <si>
    <t>C:N</t>
  </si>
  <si>
    <t>F_NFAVorig</t>
  </si>
  <si>
    <t>C:(N-NAV)</t>
  </si>
  <si>
    <t>CReteff</t>
  </si>
  <si>
    <t>CRet_Inkubmean</t>
  </si>
  <si>
    <t>Gemischtbetrieb</t>
  </si>
  <si>
    <t>Öko</t>
  </si>
  <si>
    <t>Kleegras</t>
  </si>
  <si>
    <t>Kohlrübe</t>
  </si>
  <si>
    <t>Weißkohl</t>
  </si>
  <si>
    <t>White cabbage</t>
  </si>
  <si>
    <t>Grüngutkompost</t>
  </si>
  <si>
    <t>HTK</t>
  </si>
  <si>
    <t>Gärrest Stroh unsepariert</t>
  </si>
  <si>
    <t>Strohpellets</t>
  </si>
  <si>
    <t>Gärrest Stroh Dickstoff</t>
  </si>
  <si>
    <t>SITECN</t>
  </si>
  <si>
    <t>SOMSUP = MINIMUM [ ( NSUP_HR + NSUP_FTLZ )* SITECN ; CSUP_HR+CSUP_FTLZ ]</t>
  </si>
  <si>
    <t>SBAC=SOMSUP-SOMLOSS</t>
  </si>
  <si>
    <t>SBAN=(SOMSUP-SOMLOSS)/SITECN</t>
  </si>
  <si>
    <t>SBAC_year=Σ(SBAC)</t>
  </si>
  <si>
    <t>SBAN_year=Σ(SBAN)</t>
  </si>
  <si>
    <t>NDEP=N-Deposition (annual mean)</t>
  </si>
  <si>
    <t>FTLZ1_NAV=FTLZ1_amount*FTLZ1_DM*FTLZ1_N*NAV in Blatt HU-MOD-2-Parameters_FTLZ</t>
  </si>
  <si>
    <t>FTLZ2_NAV=FTLZ2_amount*FTLZ2_DM*FTLZ2_N*NAV in Blatt HU-MOD-2-Parameters_FTLZ</t>
  </si>
  <si>
    <t>Text</t>
  </si>
  <si>
    <t>Quotient</t>
  </si>
  <si>
    <t>mm*a-1</t>
  </si>
  <si>
    <t>NADEP</t>
  </si>
  <si>
    <t>Var. Name EN</t>
  </si>
  <si>
    <t>Maximaler Dünger-N-Anteil an Biomasse-N. Default-Wert aus Blatt HU-MOD-2-Parameters_CROP</t>
  </si>
  <si>
    <t>Y</t>
  </si>
  <si>
    <t>PV</t>
  </si>
  <si>
    <t>PRECIP</t>
  </si>
  <si>
    <t>Crop</t>
  </si>
  <si>
    <t>LEGSHARE</t>
  </si>
  <si>
    <t>ORGFTLZ_1</t>
  </si>
  <si>
    <t>ORGFTLZ_1_ID</t>
  </si>
  <si>
    <t>ORGFTLZ_1_AMNT</t>
  </si>
  <si>
    <t>ORGFTLZ_1_APPLIC</t>
  </si>
  <si>
    <t>ORGFTLZ_2</t>
  </si>
  <si>
    <t>ORGFTLZ_2_ID</t>
  </si>
  <si>
    <t>ORGFTLZ_2_AMNT</t>
  </si>
  <si>
    <t>ORGFTLZ_2_APPLIC</t>
  </si>
  <si>
    <t>GREENMAN_AMNT</t>
  </si>
  <si>
    <t>GREENMAN_APPLIC</t>
  </si>
  <si>
    <t>STR_AMNT</t>
  </si>
  <si>
    <t>STR_APPLIC</t>
  </si>
  <si>
    <t>MP_AMNT</t>
  </si>
  <si>
    <t>GREENMAN?</t>
  </si>
  <si>
    <t>SP_AMNT</t>
  </si>
  <si>
    <t>STRLEFT?</t>
  </si>
  <si>
    <t>LIT_AMNT</t>
  </si>
  <si>
    <t>STB_AMNT</t>
  </si>
  <si>
    <t>RTS_AMNT</t>
  </si>
  <si>
    <t>DMCONT_MP</t>
  </si>
  <si>
    <t>CCONT_MP</t>
  </si>
  <si>
    <t>NCONT_MP</t>
  </si>
  <si>
    <t>DMCONT_SP</t>
  </si>
  <si>
    <t>CCONT_SP</t>
  </si>
  <si>
    <t>NCONT_SP</t>
  </si>
  <si>
    <t>DMCONT_LIT</t>
  </si>
  <si>
    <t>CCONTLIT</t>
  </si>
  <si>
    <t>NCONT_LIT</t>
  </si>
  <si>
    <t>DMCONT_STB</t>
  </si>
  <si>
    <t>CCONT_STB</t>
  </si>
  <si>
    <t>NCONT_STB</t>
  </si>
  <si>
    <t>DMCONT_RTS</t>
  </si>
  <si>
    <t>CCONT_RTS</t>
  </si>
  <si>
    <t>NCONT_RTS</t>
  </si>
  <si>
    <t>DMCONT_FTLZ_1</t>
  </si>
  <si>
    <t>CCONT_FTLZ_1</t>
  </si>
  <si>
    <t>NCONT_FTLZ_1</t>
  </si>
  <si>
    <t>DMCONT_FTLZ_2</t>
  </si>
  <si>
    <t>CCONT_FTLZ_2</t>
  </si>
  <si>
    <t>NCONT_FTLZ_2</t>
  </si>
  <si>
    <t>BNF</t>
  </si>
  <si>
    <t>NBNF</t>
  </si>
  <si>
    <t>NSUP_FTLZ</t>
  </si>
  <si>
    <t>CCONTMP</t>
  </si>
  <si>
    <t>NCONTMP</t>
  </si>
  <si>
    <t>NCONTLIT</t>
  </si>
  <si>
    <t>CCONTFTLZ_1</t>
  </si>
  <si>
    <t>NCONTFTLZ_1</t>
  </si>
  <si>
    <t>FTLZNAV_1</t>
  </si>
  <si>
    <t>CCONTFTLZ_2</t>
  </si>
  <si>
    <t>NCONTFTLZ_2</t>
  </si>
  <si>
    <t>FTLZNAV_2</t>
  </si>
  <si>
    <t>FTLZNAV_GREENMAN</t>
  </si>
  <si>
    <t>FTLZNAV_STR</t>
  </si>
  <si>
    <t>NFTLZMAX</t>
  </si>
  <si>
    <t>FTLZNUE_direct</t>
  </si>
  <si>
    <t>FTLZNUE_LOWUPT</t>
  </si>
  <si>
    <t>Not specified</t>
  </si>
  <si>
    <t>Numeric</t>
  </si>
  <si>
    <t>None</t>
  </si>
  <si>
    <t>Factor</t>
  </si>
  <si>
    <t>Number</t>
  </si>
  <si>
    <t>Amount</t>
  </si>
  <si>
    <t>mandatory</t>
  </si>
  <si>
    <t>calculated</t>
  </si>
  <si>
    <t>Input data</t>
  </si>
  <si>
    <t>SOMLOSS = ( NPB – NBNF – NFTLZ – NDEP + NNYR ) / SITECN</t>
  </si>
  <si>
    <t>SOMBALC</t>
  </si>
  <si>
    <t>SOMBALN</t>
  </si>
  <si>
    <t>SOMBALC_Y</t>
  </si>
  <si>
    <t>SOMBALN_Y</t>
  </si>
  <si>
    <t>MINFTLZ_AMNT</t>
  </si>
  <si>
    <t>DMCONTMP</t>
  </si>
  <si>
    <t>DMCONTSP</t>
  </si>
  <si>
    <t>DMCONTLIT</t>
  </si>
  <si>
    <t>DMCONTSTB</t>
  </si>
  <si>
    <t>DMCONTRTS</t>
  </si>
  <si>
    <t>DMCONTFTLZ_1</t>
  </si>
  <si>
    <t>DMCONTFTLZ_2</t>
  </si>
  <si>
    <t>NNYR</t>
  </si>
  <si>
    <t>NPB=MP_yield*DMCONT_MP*NCONT_MP + SP_yield*DMCONT_SP*NCONT_SP + LIT_biomass*DMCONT_LIT*NCONT_LIT + STB_biomass*DMCONT_STB*NCONT_STB + RTS_biomass*DMCONT_RTS*NCONT_RTS</t>
  </si>
  <si>
    <t>NBNF=Maximum[ 0; (NPB*Leg_Share*BNF - NFTLZ - NDEP) ]</t>
  </si>
  <si>
    <t>NFTLZ=Minimum [ (NPB*NFTLZMAX) ; (FTLZ1_NAV + FTLZ2_NAV + GM_NAV + STR_NAV) ]</t>
  </si>
  <si>
    <t>NNYR=(NPB-NBNF-NFTLZ-NDEP)*Ratio_NNYRNPB in sheet HU-MOD-2-Parameters_CROP</t>
  </si>
  <si>
    <t>CSUP_HR=LIT_biomass*DMCONT_LIT*CCONT_LIT + STB_biomass*DMCONT_STB*CCONT_STB + RTS_biomass*DMCONT_RTS*CCONT_RTS</t>
  </si>
  <si>
    <t>CSUP_FTLZ=FTLZ1_amount*DMCONT_FTLZ1*CCONT_FTLZ1 + FTLZ2_amount*DMCONT_FTLZ2*CCONT_FTLZ2 + GM_mount*DMCONT_GM*CCONT_GM + STR_amount*DMCONT_STR*CCONT_STR</t>
  </si>
  <si>
    <t>NSUP_HR=LIT_biomass*DMCONT_LIT*NCONT_LIT + STB_biomass*DMCONT_STB*NCONT_STB + RTS_biomass*DMCONT_RTS*NCONT_RTS</t>
  </si>
  <si>
    <t>NSUP_FTLZ=(FTLZ1_amount*DMCONT_FTLZ1*NCONT_FTLZ1) + (FTLZ2_amount*DMCONT_FTLZ2*NCONT_FTLZ2) + (GM_amount*DMCONT_GM*NCONT_GM) + (STR_amount*DMCONT_STR*NCONT_STR ) - NFTLZ - NNYR</t>
  </si>
  <si>
    <t>Input or default according to sheet HU-MOD-2-Parameters_CROP</t>
  </si>
  <si>
    <t>Input or default according to sheet HU-MOD-2-Parameters_FTLZ</t>
  </si>
  <si>
    <t>Input or calculated according to: SP_yield=MP_yield*AF ("RATIO_SPMP" in sheet [HU-MOD-2-Parameters_CROP])</t>
  </si>
  <si>
    <t>Input or calculated according to: SP_yield=MP_yield*AF ("RATIO_LITMP" in sheet [HU-MOD-2-Parameters_CROP])</t>
  </si>
  <si>
    <t>Input or calculated according to: SP_yield=MP_yield*AF ("RATIO_STBMP" in sheet [HU-MOD-2-Parameters_CROP])</t>
  </si>
  <si>
    <t>Input or calculated according to: SP_yield=MP_yield*AF ("RATIO_ROSH" in sheet [HU-MOD-2-Parameters_CROP])</t>
  </si>
  <si>
    <t>Input or calculated according to: GM_AMNT=MP_PRECROP (if column 29/GREENMAN? in PRECROP was Y)</t>
  </si>
  <si>
    <t>FTLZNAV_GM=GM_amount*DMCONT_GM*NCONT_GM*FTLZNAV in sheet HU-MOD-2-Parameters_FTLZ</t>
  </si>
  <si>
    <t>Input or calculated according to: STR_AMNT=SP_PRECROP (if column 31/STRLEFT? in PRECROP was Y)</t>
  </si>
  <si>
    <t>FTLZNAV_STR=STR_amount*DMCONT_STR*NCONT_STR*FTLZNAV in sheet HU-MOD-2-Parameters_FTLZ</t>
  </si>
  <si>
    <t>FTLZNUE_LOWUPT= 1-POTENZ((PRECIP/10*WINTERPRECIP)/(PRECIP/10*WINTERPRECIP+PV); 0,5*90)</t>
  </si>
  <si>
    <t>Unlimited</t>
  </si>
  <si>
    <t>Mean topsoil CN ratio</t>
  </si>
  <si>
    <t>Pore volume in 0-90 cm soil depth as decial share (0…1). Default 0,4.</t>
  </si>
  <si>
    <t>Mean annual precipitation.</t>
  </si>
  <si>
    <t>Share of precipitation over winter (NOV-MAR)</t>
  </si>
  <si>
    <t>WINTERPRECIP</t>
  </si>
  <si>
    <t>Atmospheric N Deposition kg/ha/a. Default 20</t>
  </si>
  <si>
    <t>Year (calendrical or 1,2,3,...)</t>
  </si>
  <si>
    <t>Cut Number (if applicable). Every cut is treated as an own crop entry in the model structure.</t>
  </si>
  <si>
    <t>Crop name</t>
  </si>
  <si>
    <t>According to sheet HU-MOD-2-Parameters_Crop.</t>
  </si>
  <si>
    <t>Legume share in a mixed crop or pure legume crop (0…1).</t>
  </si>
  <si>
    <t>Mineral N fertilization (artificial non-organic fertilizer).</t>
  </si>
  <si>
    <t>Organic fertilizer no. 1</t>
  </si>
  <si>
    <t>According to sheet "HU-MOD-2-Parameters_FTLZ"</t>
  </si>
  <si>
    <t>Amount of Organic fertilizer 1</t>
  </si>
  <si>
    <t>Application situation of organic fertilizer 1: 1=in period of low N uptake, 2=in period of high N uptake (directly before cover crops, application in growing crop)</t>
  </si>
  <si>
    <t>Organic fertilizer no. 2</t>
  </si>
  <si>
    <t>Amount of Organic fertilizer 2</t>
  </si>
  <si>
    <t>Application situation of organic fertilizer 2: 1=in period of low N uptake, 2=in period of high N uptake (directly before cover crops, application in growing crop)</t>
  </si>
  <si>
    <t>Green manure amount</t>
  </si>
  <si>
    <t>Application situation of green manure: 1=in period of low N uptake, 2=in period of high N uptake (directly before cover crops, application in growing crop)</t>
  </si>
  <si>
    <t>Straw amount</t>
  </si>
  <si>
    <t>Application situation of straw: 1=in period of low N uptake, 2=in period of high N uptake (directly before cover crops, application in growing crop)</t>
  </si>
  <si>
    <t>Main product amount</t>
  </si>
  <si>
    <t>Y=crop not harvested (green manure for succeeding crops), N=crop harvested (Main product or full crop)</t>
  </si>
  <si>
    <t>Side product (straw) amount</t>
  </si>
  <si>
    <t>Y=side product (straw) not harvested (straw fertilization for succeeding crops), N=side product (straw) harvested</t>
  </si>
  <si>
    <t>Litterfall amount</t>
  </si>
  <si>
    <t>Stubble amount</t>
  </si>
  <si>
    <t>Root biomass (amount)</t>
  </si>
  <si>
    <t>Dry matter content of main product</t>
  </si>
  <si>
    <t>C content in dry matter of main product</t>
  </si>
  <si>
    <t>N content in dry matter of main product</t>
  </si>
  <si>
    <t>Dry matter content of side product</t>
  </si>
  <si>
    <t>C content in dry matter of side product</t>
  </si>
  <si>
    <t>N content in dry matter of side product</t>
  </si>
  <si>
    <t>Dry matter content of litter</t>
  </si>
  <si>
    <t>C content in dry matter of litter</t>
  </si>
  <si>
    <t>N content in dry matter of litter</t>
  </si>
  <si>
    <t>Dry matter content of stubbles</t>
  </si>
  <si>
    <t>C content in dry matter of stubbles</t>
  </si>
  <si>
    <t>N content in dry matter of stubbles</t>
  </si>
  <si>
    <t>Dry matter content of roots</t>
  </si>
  <si>
    <t>C content in dry matter of roots</t>
  </si>
  <si>
    <t>N content in dry matter of roots</t>
  </si>
  <si>
    <t>Dry matter content of fertilizer 1</t>
  </si>
  <si>
    <t>C content in dry matter of fertilizer 1</t>
  </si>
  <si>
    <t>N content in dry matter of fertilizer 1</t>
  </si>
  <si>
    <t>Dry matter content of fertilizer 2</t>
  </si>
  <si>
    <t>C content in dry matter of fertilizer 2</t>
  </si>
  <si>
    <t>N content in dry matter of fertilizer 2</t>
  </si>
  <si>
    <t>Share of N in plant biomass drom biological fixation</t>
  </si>
  <si>
    <t>Effective loss of soil organic matter</t>
  </si>
  <si>
    <t>Effective supply of soil organic matter</t>
  </si>
  <si>
    <t>Crop soil organic matter balance based on C</t>
  </si>
  <si>
    <t>Crop soil organic matter balance based on N</t>
  </si>
  <si>
    <t>Yearly soil organic matter balance based on N</t>
  </si>
  <si>
    <t>Yearly soil organic matter balance based on C</t>
  </si>
  <si>
    <t>N in plant biomass (above- and belowground)</t>
  </si>
  <si>
    <t>N in plant biomass derived from biological fixation</t>
  </si>
  <si>
    <t>N in plant biomass derived from fertilizers</t>
  </si>
  <si>
    <t>N in plant biomass derived from atmospheric deposition</t>
  </si>
  <si>
    <t>Not-yield-related N lost in crop cultivation</t>
  </si>
  <si>
    <t>Amount of not-yield-related N lost in crop cultivation</t>
  </si>
  <si>
    <t>Effective C supply of harvest residues (litter, stubble, roots)</t>
  </si>
  <si>
    <t>Effective C supply of fertilizers</t>
  </si>
  <si>
    <t>Effective organic N supply of harvest residues (litter, stubble, roots)</t>
  </si>
  <si>
    <t>Effective organic N supply of fertilizers</t>
  </si>
  <si>
    <t>Amount of side product</t>
  </si>
  <si>
    <t>Amount of litter</t>
  </si>
  <si>
    <t>Amount of stubbles</t>
  </si>
  <si>
    <t>Amount of roots</t>
  </si>
  <si>
    <t>Available share of N in fertilizer 1</t>
  </si>
  <si>
    <t>Available share of N in fertilizer 2</t>
  </si>
  <si>
    <t>Available share of N in green manure</t>
  </si>
  <si>
    <t>Available share of N in green straw</t>
  </si>
  <si>
    <t>N in crop N derived from biological fixation</t>
  </si>
  <si>
    <t>Maximal share of N derived from fertilizer in crop total N</t>
  </si>
  <si>
    <t xml:space="preserve">Use efficiency of available fertilizer N when fertilizer is applied in the growth period of the crop </t>
  </si>
  <si>
    <t>Use efficiency of available fertilizer N when fertilizer is applied to fallow or before the growth period of the crop</t>
  </si>
  <si>
    <t>Type</t>
  </si>
  <si>
    <t>Unit</t>
  </si>
  <si>
    <t xml:space="preserve">Data base / calculation </t>
  </si>
  <si>
    <t>Input requirement</t>
  </si>
  <si>
    <t>Explanations</t>
  </si>
  <si>
    <t>Clover grass</t>
  </si>
  <si>
    <t>Catch crop</t>
  </si>
  <si>
    <t>Cattle manure</t>
  </si>
  <si>
    <t>Slurry</t>
  </si>
  <si>
    <t>Test Farm</t>
  </si>
  <si>
    <t>Organic Mixed Farm</t>
  </si>
  <si>
    <t>Turnip</t>
  </si>
  <si>
    <t>Energy Sorghum</t>
  </si>
  <si>
    <t>Winter triticale</t>
  </si>
  <si>
    <t>Summer triticale</t>
  </si>
  <si>
    <t>Winter rapeseed</t>
  </si>
  <si>
    <t>Summer rapeseed</t>
  </si>
  <si>
    <t>Storage Potatoes</t>
  </si>
  <si>
    <t>Protein Peas</t>
  </si>
  <si>
    <t>Clover-grass (fodder), legume share &gt;0.9</t>
  </si>
  <si>
    <t>Clover-grass (mulch), legume share &gt;0.9</t>
  </si>
  <si>
    <t>Sudangrass</t>
  </si>
  <si>
    <t>Sorghum + Maize</t>
  </si>
  <si>
    <t>Jerusalem artichoke</t>
  </si>
  <si>
    <t>Broccoli</t>
  </si>
  <si>
    <t>Arable fodder (grass) without legumes</t>
  </si>
  <si>
    <t>Oats + Camelina</t>
  </si>
  <si>
    <t>Green waste compost</t>
  </si>
  <si>
    <t>Clover-grass silage</t>
  </si>
  <si>
    <t>Stable manure (variant 2)</t>
  </si>
  <si>
    <t>Clover-grass compost</t>
  </si>
  <si>
    <t>straw (VDLUFA updated)</t>
  </si>
  <si>
    <t>Green manure (VDLUFA updated)</t>
  </si>
  <si>
    <t>Legume straw (VDLUFA updated)</t>
  </si>
  <si>
    <t>Dried poultra manure pellets</t>
  </si>
  <si>
    <t>Straw pellets</t>
  </si>
  <si>
    <t>Straw digestate (solid fraction)</t>
  </si>
  <si>
    <t>Straw digestate (unseparated)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</si>
</sst>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0"/>
  </numFmts>
  <fonts count="12" x14ac:knownFonts="1">
    <font>
      <sz val="11"/>
      <color rgb="FF000000"/>
      <name val="Calibri"/>
      <family val="2"/>
      <charset val="1"/>
    </font>
    <font>
      <b/>
      <sz val="12"/>
      <color rgb="FF000000"/>
      <name val="Calibri"/>
      <family val="2"/>
      <charset val="1"/>
    </font>
    <font>
      <b/>
      <sz val="11"/>
      <color rgb="FF000000"/>
      <name val="Calibri"/>
      <family val="2"/>
      <charset val="1"/>
    </font>
    <font>
      <b/>
      <sz val="11"/>
      <color rgb="FFFF0000"/>
      <name val="Calibri"/>
      <family val="2"/>
      <charset val="1"/>
    </font>
    <font>
      <b/>
      <sz val="11"/>
      <color rgb="FF1F497D"/>
      <name val="Calibri"/>
      <family val="2"/>
      <charset val="1"/>
    </font>
    <font>
      <b/>
      <sz val="11"/>
      <color rgb="FF0070C0"/>
      <name val="Calibri"/>
      <family val="2"/>
      <charset val="1"/>
    </font>
    <font>
      <vertAlign val="superscript"/>
      <sz val="11"/>
      <color rgb="FF000000"/>
      <name val="Calibri"/>
      <family val="2"/>
      <charset val="1"/>
    </font>
    <font>
      <sz val="11"/>
      <color rgb="FF1F497D"/>
      <name val="Calibri"/>
      <family val="2"/>
      <charset val="1"/>
    </font>
    <font>
      <sz val="11"/>
      <color rgb="FF808080"/>
      <name val="Calibri"/>
      <family val="2"/>
      <charset val="1"/>
    </font>
    <font>
      <sz val="10"/>
      <name val="Arial"/>
      <family val="2"/>
      <charset val="1"/>
    </font>
    <font>
      <b/>
      <sz val="11"/>
      <color rgb="FF808080"/>
      <name val="Calibri"/>
      <family val="2"/>
      <charset val="1"/>
    </font>
    <font>
      <b/>
      <sz val="10"/>
      <name val="Arial"/>
      <family val="2"/>
      <charset val="1"/>
    </font>
  </fonts>
  <fills count="24">
    <fill>
      <patternFill patternType="none"/>
    </fill>
    <fill>
      <patternFill patternType="gray125"/>
    </fill>
    <fill>
      <patternFill patternType="solid">
        <fgColor rgb="FFFAC090"/>
        <bgColor rgb="FFC3D69B"/>
      </patternFill>
    </fill>
    <fill>
      <patternFill patternType="solid">
        <fgColor rgb="FF9BBB59"/>
        <bgColor rgb="FFC3D69B"/>
      </patternFill>
    </fill>
    <fill>
      <patternFill patternType="solid">
        <fgColor rgb="FFB9CDE5"/>
        <bgColor rgb="FFBFBFBF"/>
      </patternFill>
    </fill>
    <fill>
      <patternFill patternType="solid">
        <fgColor rgb="FFF79646"/>
        <bgColor rgb="FFFF8080"/>
      </patternFill>
    </fill>
    <fill>
      <patternFill patternType="solid">
        <fgColor rgb="FF95B3D7"/>
        <bgColor rgb="FF8EB4E3"/>
      </patternFill>
    </fill>
    <fill>
      <patternFill patternType="solid">
        <fgColor rgb="FFC3D69B"/>
        <bgColor rgb="FFBFBFBF"/>
      </patternFill>
    </fill>
    <fill>
      <patternFill patternType="solid">
        <fgColor rgb="FF8EB4E3"/>
        <bgColor rgb="FF95B3D7"/>
      </patternFill>
    </fill>
    <fill>
      <patternFill patternType="solid">
        <fgColor rgb="FFBFBFBF"/>
        <bgColor rgb="FFB9CDE5"/>
      </patternFill>
    </fill>
    <fill>
      <patternFill patternType="solid">
        <fgColor rgb="FFFFFFFF"/>
        <bgColor rgb="FFFFFFCC"/>
      </patternFill>
    </fill>
    <fill>
      <patternFill patternType="solid">
        <fgColor theme="9" tint="0.39997558519241921"/>
        <bgColor rgb="FFC3D69B"/>
      </patternFill>
    </fill>
    <fill>
      <patternFill patternType="solid">
        <fgColor theme="9"/>
        <bgColor rgb="FFC3D69B"/>
      </patternFill>
    </fill>
    <fill>
      <patternFill patternType="solid">
        <fgColor theme="9"/>
        <bgColor indexed="64"/>
      </patternFill>
    </fill>
    <fill>
      <patternFill patternType="solid">
        <fgColor rgb="FFFFFF00"/>
        <bgColor rgb="FFC3D69B"/>
      </patternFill>
    </fill>
    <fill>
      <patternFill patternType="solid">
        <fgColor rgb="FF92D050"/>
        <bgColor rgb="FFC3D69B"/>
      </patternFill>
    </fill>
    <fill>
      <patternFill patternType="solid">
        <fgColor rgb="FFFFFF00"/>
        <bgColor rgb="FFBFBFBF"/>
      </patternFill>
    </fill>
    <fill>
      <patternFill patternType="solid">
        <fgColor rgb="FF92D050"/>
        <bgColor rgb="FFBFBFBF"/>
      </patternFill>
    </fill>
    <fill>
      <patternFill patternType="solid">
        <fgColor theme="6" tint="0.39997558519241921"/>
        <bgColor rgb="FFBFBFBF"/>
      </patternFill>
    </fill>
    <fill>
      <patternFill patternType="solid">
        <fgColor theme="6" tint="0.39997558519241921"/>
        <bgColor indexed="64"/>
      </patternFill>
    </fill>
    <fill>
      <patternFill patternType="solid">
        <fgColor theme="6" tint="0.39997558519241921"/>
        <bgColor rgb="FFC3D69B"/>
      </patternFill>
    </fill>
    <fill>
      <patternFill patternType="solid">
        <fgColor theme="3" tint="0.59999389629810485"/>
        <bgColor rgb="FFFF8080"/>
      </patternFill>
    </fill>
    <fill>
      <patternFill patternType="solid">
        <fgColor theme="3" tint="0.59999389629810485"/>
        <bgColor indexed="64"/>
      </patternFill>
    </fill>
    <fill>
      <patternFill patternType="solid">
        <fgColor theme="4" tint="0.59999389629810485"/>
        <bgColor rgb="FFBFBFBF"/>
      </patternFill>
    </fill>
  </fills>
  <borders count="2">
    <border>
      <left/>
      <right/>
      <top/>
      <bottom/>
      <diagonal/>
    </border>
    <border>
      <left/>
      <right/>
      <top/>
      <bottom style="hair">
        <color auto="1"/>
      </bottom>
      <diagonal/>
    </border>
  </borders>
  <cellStyleXfs count="1">
    <xf numFmtId="0" fontId="0" fillId="0" borderId="0"/>
  </cellStyleXfs>
  <cellXfs count="73">
    <xf numFmtId="0" fontId="0" fillId="0" borderId="0" xfId="0"/>
    <xf numFmtId="0" fontId="0" fillId="0" borderId="0" xfId="0" applyAlignment="1">
      <alignment horizontal="right"/>
    </xf>
    <xf numFmtId="1" fontId="1" fillId="0" borderId="0" xfId="0" applyNumberFormat="1" applyFont="1" applyAlignment="1">
      <alignment horizontal="left"/>
    </xf>
    <xf numFmtId="1" fontId="0" fillId="0" borderId="0" xfId="0" applyNumberFormat="1" applyAlignment="1">
      <alignment horizontal="left"/>
    </xf>
    <xf numFmtId="1" fontId="4" fillId="2" borderId="0" xfId="0" applyNumberFormat="1" applyFont="1" applyFill="1" applyAlignment="1">
      <alignment horizontal="right"/>
    </xf>
    <xf numFmtId="0" fontId="4" fillId="2" borderId="0" xfId="0" applyFont="1" applyFill="1"/>
    <xf numFmtId="1" fontId="0" fillId="2" borderId="0" xfId="0" applyNumberFormat="1" applyFill="1" applyAlignment="1">
      <alignment horizontal="right"/>
    </xf>
    <xf numFmtId="0" fontId="0" fillId="2" borderId="0" xfId="0" applyFill="1"/>
    <xf numFmtId="0" fontId="5" fillId="0" borderId="0" xfId="0" applyFont="1"/>
    <xf numFmtId="1" fontId="0" fillId="3" borderId="0" xfId="0" applyNumberFormat="1" applyFill="1" applyAlignment="1">
      <alignment horizontal="right"/>
    </xf>
    <xf numFmtId="164" fontId="0" fillId="3" borderId="0" xfId="0" applyNumberFormat="1" applyFill="1"/>
    <xf numFmtId="0" fontId="3" fillId="0" borderId="0" xfId="0" applyFont="1"/>
    <xf numFmtId="1" fontId="0" fillId="4" borderId="0" xfId="0" applyNumberFormat="1" applyFill="1" applyAlignment="1">
      <alignment horizontal="right"/>
    </xf>
    <xf numFmtId="0" fontId="0" fillId="4" borderId="0" xfId="0" applyFill="1"/>
    <xf numFmtId="1" fontId="0" fillId="5" borderId="0" xfId="0" applyNumberFormat="1" applyFill="1" applyAlignment="1">
      <alignment horizontal="right"/>
    </xf>
    <xf numFmtId="0" fontId="0" fillId="5" borderId="0" xfId="0" applyFill="1"/>
    <xf numFmtId="1" fontId="0" fillId="6" borderId="0" xfId="0" applyNumberFormat="1" applyFill="1" applyAlignment="1">
      <alignment horizontal="right"/>
    </xf>
    <xf numFmtId="0" fontId="0" fillId="6" borderId="0" xfId="0" applyFill="1"/>
    <xf numFmtId="1" fontId="0" fillId="0" borderId="0" xfId="0" applyNumberFormat="1" applyAlignment="1">
      <alignment horizontal="right"/>
    </xf>
    <xf numFmtId="1" fontId="0" fillId="7" borderId="0" xfId="0" applyNumberFormat="1" applyFill="1" applyAlignment="1">
      <alignment horizontal="right"/>
    </xf>
    <xf numFmtId="0" fontId="0" fillId="7" borderId="0" xfId="0" applyFill="1"/>
    <xf numFmtId="0" fontId="7" fillId="2" borderId="0" xfId="0" applyFont="1" applyFill="1"/>
    <xf numFmtId="164" fontId="7" fillId="3" borderId="0" xfId="0" applyNumberFormat="1" applyFont="1" applyFill="1"/>
    <xf numFmtId="2" fontId="7" fillId="4" borderId="0" xfId="0" applyNumberFormat="1" applyFont="1" applyFill="1"/>
    <xf numFmtId="0" fontId="7" fillId="4" borderId="0" xfId="0" applyFont="1" applyFill="1"/>
    <xf numFmtId="0" fontId="7" fillId="8" borderId="0" xfId="0" applyFont="1" applyFill="1"/>
    <xf numFmtId="2" fontId="7" fillId="8" borderId="0" xfId="0" applyNumberFormat="1" applyFont="1" applyFill="1"/>
    <xf numFmtId="164" fontId="7" fillId="0" borderId="0" xfId="0" applyNumberFormat="1" applyFont="1"/>
    <xf numFmtId="0" fontId="7" fillId="7" borderId="0" xfId="0" applyFont="1" applyFill="1"/>
    <xf numFmtId="0" fontId="7" fillId="0" borderId="0" xfId="0" applyFont="1"/>
    <xf numFmtId="0" fontId="8" fillId="0" borderId="0" xfId="0" applyFont="1"/>
    <xf numFmtId="0" fontId="9" fillId="0" borderId="0" xfId="0" applyFont="1"/>
    <xf numFmtId="0" fontId="10" fillId="9" borderId="0" xfId="0" applyFont="1" applyFill="1"/>
    <xf numFmtId="49" fontId="9" fillId="0" borderId="0" xfId="0" applyNumberFormat="1" applyFont="1"/>
    <xf numFmtId="0" fontId="8" fillId="9" borderId="0" xfId="0" applyFont="1" applyFill="1"/>
    <xf numFmtId="49" fontId="11" fillId="2" borderId="1" xfId="0" applyNumberFormat="1" applyFont="1" applyFill="1" applyBorder="1" applyAlignment="1">
      <alignment wrapText="1"/>
    </xf>
    <xf numFmtId="0" fontId="11" fillId="2" borderId="0" xfId="0" applyFont="1" applyFill="1"/>
    <xf numFmtId="0" fontId="9" fillId="5" borderId="0" xfId="0" applyFont="1" applyFill="1"/>
    <xf numFmtId="0" fontId="0" fillId="10" borderId="0" xfId="0" applyFill="1"/>
    <xf numFmtId="2" fontId="0" fillId="7" borderId="0" xfId="0" applyNumberFormat="1" applyFill="1"/>
    <xf numFmtId="0" fontId="9" fillId="10" borderId="0" xfId="0" applyFont="1" applyFill="1"/>
    <xf numFmtId="165" fontId="0" fillId="7" borderId="0" xfId="0" applyNumberFormat="1" applyFill="1"/>
    <xf numFmtId="0" fontId="9" fillId="7" borderId="0" xfId="0" applyFont="1" applyFill="1"/>
    <xf numFmtId="0" fontId="0" fillId="12" borderId="0" xfId="0" applyFill="1"/>
    <xf numFmtId="0" fontId="4" fillId="12" borderId="0" xfId="0" applyFont="1" applyFill="1"/>
    <xf numFmtId="0" fontId="7" fillId="12" borderId="0" xfId="0" applyFont="1" applyFill="1"/>
    <xf numFmtId="0" fontId="7" fillId="12" borderId="0" xfId="0" applyFont="1" applyFill="1" applyAlignment="1">
      <alignment horizontal="right"/>
    </xf>
    <xf numFmtId="0" fontId="0" fillId="13" borderId="0" xfId="0" applyFill="1" applyAlignment="1">
      <alignment horizontal="right"/>
    </xf>
    <xf numFmtId="1" fontId="0" fillId="12" borderId="0" xfId="0" applyNumberFormat="1" applyFill="1"/>
    <xf numFmtId="0" fontId="0" fillId="14" borderId="0" xfId="0" applyFill="1"/>
    <xf numFmtId="0" fontId="0" fillId="15" borderId="0" xfId="0" applyFill="1"/>
    <xf numFmtId="0" fontId="7" fillId="16" borderId="0" xfId="0" applyFont="1" applyFill="1"/>
    <xf numFmtId="0" fontId="7" fillId="17" borderId="0" xfId="0" applyFont="1" applyFill="1"/>
    <xf numFmtId="0" fontId="7" fillId="18" borderId="0" xfId="0" applyFont="1" applyFill="1"/>
    <xf numFmtId="0" fontId="0" fillId="12" borderId="0" xfId="0" applyFill="1" applyAlignment="1">
      <alignment horizontal="left"/>
    </xf>
    <xf numFmtId="0" fontId="0" fillId="18" borderId="0" xfId="0" applyFill="1"/>
    <xf numFmtId="166" fontId="0" fillId="18" borderId="0" xfId="0" applyNumberFormat="1" applyFill="1"/>
    <xf numFmtId="1" fontId="0" fillId="18" borderId="0" xfId="0" applyNumberFormat="1" applyFill="1"/>
    <xf numFmtId="2" fontId="0" fillId="18" borderId="0" xfId="0" applyNumberFormat="1" applyFill="1"/>
    <xf numFmtId="0" fontId="0" fillId="19" borderId="0" xfId="0" applyFill="1"/>
    <xf numFmtId="1" fontId="7" fillId="12" borderId="0" xfId="0" applyNumberFormat="1" applyFont="1" applyFill="1"/>
    <xf numFmtId="0" fontId="0" fillId="11" borderId="0" xfId="0" applyFill="1"/>
    <xf numFmtId="0" fontId="7" fillId="11" borderId="0" xfId="0" applyFont="1" applyFill="1"/>
    <xf numFmtId="2" fontId="0" fillId="11" borderId="0" xfId="0" applyNumberFormat="1" applyFill="1"/>
    <xf numFmtId="2" fontId="7" fillId="11" borderId="0" xfId="0" applyNumberFormat="1" applyFont="1" applyFill="1"/>
    <xf numFmtId="164" fontId="0" fillId="20" borderId="0" xfId="0" applyNumberFormat="1" applyFill="1"/>
    <xf numFmtId="164" fontId="7" fillId="20" borderId="0" xfId="0" applyNumberFormat="1" applyFont="1" applyFill="1"/>
    <xf numFmtId="0" fontId="0" fillId="21" borderId="0" xfId="0" applyFill="1"/>
    <xf numFmtId="0" fontId="7" fillId="21" borderId="0" xfId="0" applyFont="1" applyFill="1"/>
    <xf numFmtId="0" fontId="0" fillId="22" borderId="0" xfId="0" applyFill="1"/>
    <xf numFmtId="1" fontId="2" fillId="0" borderId="0" xfId="0" applyNumberFormat="1" applyFont="1" applyAlignment="1">
      <alignment horizontal="left"/>
    </xf>
    <xf numFmtId="0" fontId="7" fillId="23" borderId="0" xfId="0" applyFont="1" applyFill="1"/>
    <xf numFmtId="164" fontId="7" fillId="14" borderId="0" xfId="0" applyNumberFormat="1"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8EB4E3"/>
      <rgbColor rgb="FF993366"/>
      <rgbColor rgb="FFFFFFCC"/>
      <rgbColor rgb="FFCCFFFF"/>
      <rgbColor rgb="FF660066"/>
      <rgbColor rgb="FFFF8080"/>
      <rgbColor rgb="FF0070C0"/>
      <rgbColor rgb="FFB9CDE5"/>
      <rgbColor rgb="FF000080"/>
      <rgbColor rgb="FFFF00FF"/>
      <rgbColor rgb="FFFFFF00"/>
      <rgbColor rgb="FF00FFFF"/>
      <rgbColor rgb="FF800080"/>
      <rgbColor rgb="FF800000"/>
      <rgbColor rgb="FF008080"/>
      <rgbColor rgb="FF0000FF"/>
      <rgbColor rgb="FF00CCFF"/>
      <rgbColor rgb="FFCCFFFF"/>
      <rgbColor rgb="FFC3D69B"/>
      <rgbColor rgb="FFFFFF99"/>
      <rgbColor rgb="FF99CCFF"/>
      <rgbColor rgb="FFFF99CC"/>
      <rgbColor rgb="FF95B3D7"/>
      <rgbColor rgb="FFFAC090"/>
      <rgbColor rgb="FF3366FF"/>
      <rgbColor rgb="FF33CCCC"/>
      <rgbColor rgb="FF9BBB59"/>
      <rgbColor rgb="FFFFCC00"/>
      <rgbColor rgb="FFF79646"/>
      <rgbColor rgb="FFFF6600"/>
      <rgbColor rgb="FF595959"/>
      <rgbColor rgb="FF878787"/>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Christopher Brock" id="{66D507A8-6A7A-4506-96D2-976C9756A432}" userId="S::christopher.brock@demeter.de::9db53cea-7a36-40de-a334-48bf549888ae"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E5" dT="2025-07-01T13:58:13.57" personId="{66D507A8-6A7A-4506-96D2-976C9756A432}" id="{AB228D15-ED08-4B65-B151-2B806247A009}">
    <text>You only need to specify this for crops where the side product is harvestable. This includes cereals and grain legumes, but also sugar beets etc. NOT clover grass, potatos, catch crops etc.</text>
  </threadedComment>
  <threadedComment ref="BL6" dT="2025-07-01T13:59:27.36" personId="{66D507A8-6A7A-4506-96D2-976C9756A432}" id="{D531AEC3-C47C-4F43-9AA6-F24B2A87A324}">
    <text>Later, You must calculate the annual mean for the clover grass by hand - sorry. If there are only 2 crops in a year, the model calculates the annual mean in column BM/BN.</text>
  </threadedComment>
  <threadedComment ref="AC9" dT="2025-07-01T13:53:58.09" personId="{66D507A8-6A7A-4506-96D2-976C9756A432}" id="{94588891-8AF6-4442-967B-16DA494D6DDF}">
    <text>This cut is left as mulch and will fertilize the next crop. You can see this in parameter NFTLZ (column BK).</text>
  </threadedComment>
  <threadedComment ref="BN10" dT="2025-07-01T14:00:30.14" personId="{66D507A8-6A7A-4506-96D2-976C9756A432}" id="{C2E5E4EE-7013-458B-B19C-8B1143C4175C}">
    <text>This is a calculated annual mean for wheat+catch crop. However, the calculation does not work with more than 2 crops at the moment...</text>
  </threadedComment>
  <threadedComment ref="R11" dT="2025-07-01T13:55:15.51" personId="{66D507A8-6A7A-4506-96D2-976C9756A432}" id="{155029BE-C2A2-4208-9700-ECDBD7F2E54D}">
    <text>This is MG again. With slurry, 1 cubic meter can be assumed to equal 1 MG.</text>
  </threadedComment>
  <threadedComment ref="AC11" dT="2025-07-01T13:54:27.76" personId="{66D507A8-6A7A-4506-96D2-976C9756A432}" id="{7FE87E67-A3C0-4E77-84AF-05E8848F3707}">
    <text>The catch crop is ploughed under and fertilizes the next crop (NFTLZ, column BK).</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FF"/>
  </sheetPr>
  <dimension ref="A1:I118"/>
  <sheetViews>
    <sheetView topLeftCell="A58" zoomScale="85" zoomScaleNormal="85" workbookViewId="0">
      <selection activeCell="F75" sqref="F75"/>
    </sheetView>
  </sheetViews>
  <sheetFormatPr defaultColWidth="9.140625" defaultRowHeight="15" x14ac:dyDescent="0.25"/>
  <cols>
    <col min="1" max="1" width="11.42578125" style="1"/>
    <col min="2" max="2" width="19.28515625" customWidth="1"/>
    <col min="3" max="3" width="12.140625"/>
    <col min="4" max="4" width="10.5703125"/>
    <col min="5" max="5" width="18" customWidth="1"/>
    <col min="6" max="6" width="24.5703125" customWidth="1"/>
    <col min="7" max="7" width="35.7109375" customWidth="1"/>
    <col min="8" max="8" width="29.85546875" customWidth="1"/>
    <col min="9" max="1022" width="10.5703125"/>
  </cols>
  <sheetData>
    <row r="1" spans="1:9" ht="15.75" x14ac:dyDescent="0.25">
      <c r="A1" s="2" t="s">
        <v>0</v>
      </c>
    </row>
    <row r="2" spans="1:9" x14ac:dyDescent="0.25">
      <c r="A2" s="3"/>
    </row>
    <row r="3" spans="1:9" x14ac:dyDescent="0.25">
      <c r="A3" s="70" t="s">
        <v>1</v>
      </c>
    </row>
    <row r="4" spans="1:9" x14ac:dyDescent="0.25">
      <c r="A4" s="4" t="s">
        <v>2</v>
      </c>
      <c r="B4" s="5" t="s">
        <v>248</v>
      </c>
      <c r="C4" s="5" t="s">
        <v>435</v>
      </c>
      <c r="D4" s="5" t="s">
        <v>436</v>
      </c>
      <c r="E4" s="5" t="s">
        <v>438</v>
      </c>
      <c r="F4" s="5" t="s">
        <v>437</v>
      </c>
      <c r="G4" s="5" t="s">
        <v>439</v>
      </c>
      <c r="H4" s="5"/>
      <c r="I4" s="5"/>
    </row>
    <row r="5" spans="1:9" x14ac:dyDescent="0.25">
      <c r="A5" s="6">
        <v>1</v>
      </c>
      <c r="B5" s="43" t="s">
        <v>3</v>
      </c>
      <c r="C5" t="s">
        <v>312</v>
      </c>
      <c r="D5" t="s">
        <v>314</v>
      </c>
      <c r="E5" t="s">
        <v>4</v>
      </c>
      <c r="F5" t="s">
        <v>320</v>
      </c>
      <c r="G5" t="s">
        <v>354</v>
      </c>
    </row>
    <row r="6" spans="1:9" x14ac:dyDescent="0.25">
      <c r="A6" s="6">
        <v>2</v>
      </c>
      <c r="B6" s="43" t="s">
        <v>5</v>
      </c>
      <c r="C6" t="s">
        <v>312</v>
      </c>
      <c r="D6" t="s">
        <v>314</v>
      </c>
      <c r="E6" t="s">
        <v>4</v>
      </c>
      <c r="F6" t="s">
        <v>320</v>
      </c>
      <c r="G6" t="s">
        <v>354</v>
      </c>
    </row>
    <row r="7" spans="1:9" x14ac:dyDescent="0.25">
      <c r="A7" s="6">
        <v>3</v>
      </c>
      <c r="B7" s="43" t="s">
        <v>6</v>
      </c>
      <c r="C7" t="s">
        <v>312</v>
      </c>
      <c r="D7" t="s">
        <v>314</v>
      </c>
      <c r="E7" t="s">
        <v>4</v>
      </c>
      <c r="F7" t="s">
        <v>320</v>
      </c>
      <c r="G7" t="s">
        <v>354</v>
      </c>
    </row>
    <row r="8" spans="1:9" x14ac:dyDescent="0.25">
      <c r="A8" s="6">
        <v>4</v>
      </c>
      <c r="B8" s="54" t="s">
        <v>7</v>
      </c>
      <c r="C8" t="s">
        <v>312</v>
      </c>
      <c r="D8" t="s">
        <v>314</v>
      </c>
      <c r="E8" t="s">
        <v>4</v>
      </c>
      <c r="F8" t="s">
        <v>320</v>
      </c>
      <c r="G8" t="s">
        <v>354</v>
      </c>
    </row>
    <row r="9" spans="1:9" x14ac:dyDescent="0.25">
      <c r="A9" s="6">
        <v>5</v>
      </c>
      <c r="B9" s="43" t="s">
        <v>235</v>
      </c>
      <c r="C9" t="s">
        <v>313</v>
      </c>
      <c r="D9" t="s">
        <v>245</v>
      </c>
      <c r="E9" s="8" t="s">
        <v>318</v>
      </c>
      <c r="F9" t="s">
        <v>320</v>
      </c>
      <c r="G9" t="s">
        <v>355</v>
      </c>
    </row>
    <row r="10" spans="1:9" x14ac:dyDescent="0.25">
      <c r="A10" s="6">
        <v>6</v>
      </c>
      <c r="B10" s="43" t="s">
        <v>251</v>
      </c>
      <c r="C10" t="s">
        <v>313</v>
      </c>
      <c r="D10" t="s">
        <v>315</v>
      </c>
      <c r="E10" s="8" t="s">
        <v>318</v>
      </c>
      <c r="F10" t="s">
        <v>320</v>
      </c>
      <c r="G10" t="s">
        <v>356</v>
      </c>
    </row>
    <row r="11" spans="1:9" x14ac:dyDescent="0.25">
      <c r="A11" s="6">
        <v>7</v>
      </c>
      <c r="B11" s="43" t="s">
        <v>252</v>
      </c>
      <c r="C11" t="s">
        <v>313</v>
      </c>
      <c r="D11" t="s">
        <v>246</v>
      </c>
      <c r="E11" s="8" t="s">
        <v>318</v>
      </c>
      <c r="F11" t="s">
        <v>320</v>
      </c>
      <c r="G11" t="s">
        <v>357</v>
      </c>
    </row>
    <row r="12" spans="1:9" x14ac:dyDescent="0.25">
      <c r="A12" s="6">
        <v>8</v>
      </c>
      <c r="B12" s="43" t="s">
        <v>359</v>
      </c>
      <c r="C12" t="s">
        <v>313</v>
      </c>
      <c r="D12" t="s">
        <v>315</v>
      </c>
      <c r="E12" s="8" t="s">
        <v>318</v>
      </c>
      <c r="F12" t="s">
        <v>320</v>
      </c>
      <c r="G12" t="s">
        <v>358</v>
      </c>
    </row>
    <row r="13" spans="1:9" ht="17.25" x14ac:dyDescent="0.25">
      <c r="A13" s="6">
        <v>9</v>
      </c>
      <c r="B13" s="43" t="s">
        <v>247</v>
      </c>
      <c r="C13" t="s">
        <v>313</v>
      </c>
      <c r="D13" t="s">
        <v>9</v>
      </c>
      <c r="E13" s="8" t="s">
        <v>318</v>
      </c>
      <c r="F13" t="s">
        <v>320</v>
      </c>
      <c r="G13" t="s">
        <v>360</v>
      </c>
    </row>
    <row r="14" spans="1:9" x14ac:dyDescent="0.25">
      <c r="A14" s="6">
        <v>10</v>
      </c>
      <c r="B14" s="43" t="s">
        <v>10</v>
      </c>
      <c r="C14" t="s">
        <v>313</v>
      </c>
      <c r="D14" t="s">
        <v>316</v>
      </c>
      <c r="E14" s="8" t="s">
        <v>318</v>
      </c>
      <c r="F14" t="s">
        <v>320</v>
      </c>
      <c r="G14" t="s">
        <v>361</v>
      </c>
    </row>
    <row r="15" spans="1:9" x14ac:dyDescent="0.25">
      <c r="A15" s="6">
        <v>11</v>
      </c>
      <c r="B15" s="7" t="s">
        <v>29</v>
      </c>
      <c r="C15" t="s">
        <v>313</v>
      </c>
      <c r="D15" t="s">
        <v>316</v>
      </c>
      <c r="F15" t="s">
        <v>320</v>
      </c>
      <c r="G15" t="s">
        <v>362</v>
      </c>
    </row>
    <row r="16" spans="1:9" x14ac:dyDescent="0.25">
      <c r="A16" s="6">
        <v>12</v>
      </c>
      <c r="B16" s="61" t="s">
        <v>253</v>
      </c>
      <c r="C16" t="s">
        <v>244</v>
      </c>
      <c r="D16" t="s">
        <v>314</v>
      </c>
      <c r="E16" t="s">
        <v>4</v>
      </c>
      <c r="F16" t="s">
        <v>320</v>
      </c>
      <c r="G16" t="s">
        <v>363</v>
      </c>
    </row>
    <row r="17" spans="1:7" x14ac:dyDescent="0.25">
      <c r="A17" s="6">
        <v>13</v>
      </c>
      <c r="B17" s="48" t="s">
        <v>11</v>
      </c>
      <c r="C17" t="s">
        <v>313</v>
      </c>
      <c r="D17" t="s">
        <v>12</v>
      </c>
      <c r="E17" s="8" t="s">
        <v>318</v>
      </c>
      <c r="F17" t="s">
        <v>320</v>
      </c>
      <c r="G17" t="s">
        <v>364</v>
      </c>
    </row>
    <row r="18" spans="1:7" ht="15" customHeight="1" x14ac:dyDescent="0.25">
      <c r="A18" s="6">
        <v>14</v>
      </c>
      <c r="B18" s="63" t="s">
        <v>254</v>
      </c>
      <c r="C18" t="s">
        <v>313</v>
      </c>
      <c r="D18" t="s">
        <v>8</v>
      </c>
      <c r="E18" s="8" t="s">
        <v>318</v>
      </c>
      <c r="F18" t="s">
        <v>320</v>
      </c>
      <c r="G18" t="s">
        <v>365</v>
      </c>
    </row>
    <row r="19" spans="1:7" ht="15" customHeight="1" x14ac:dyDescent="0.25">
      <c r="A19" s="6">
        <v>15</v>
      </c>
      <c r="B19" s="61" t="s">
        <v>326</v>
      </c>
      <c r="C19" t="s">
        <v>313</v>
      </c>
      <c r="D19" t="s">
        <v>9</v>
      </c>
      <c r="E19" t="s">
        <v>4</v>
      </c>
      <c r="F19" t="s">
        <v>320</v>
      </c>
      <c r="G19" t="s">
        <v>366</v>
      </c>
    </row>
    <row r="20" spans="1:7" x14ac:dyDescent="0.25">
      <c r="A20" s="6">
        <v>16</v>
      </c>
      <c r="B20" s="7" t="s">
        <v>255</v>
      </c>
      <c r="C20" t="s">
        <v>244</v>
      </c>
      <c r="D20" t="s">
        <v>314</v>
      </c>
      <c r="E20" t="s">
        <v>4</v>
      </c>
      <c r="F20" t="s">
        <v>320</v>
      </c>
      <c r="G20" t="s">
        <v>367</v>
      </c>
    </row>
    <row r="21" spans="1:7" x14ac:dyDescent="0.25">
      <c r="A21" s="6">
        <v>17</v>
      </c>
      <c r="B21" s="7" t="s">
        <v>256</v>
      </c>
      <c r="C21" t="s">
        <v>313</v>
      </c>
      <c r="D21" t="s">
        <v>12</v>
      </c>
      <c r="E21" t="s">
        <v>4</v>
      </c>
      <c r="F21" t="s">
        <v>320</v>
      </c>
      <c r="G21" t="s">
        <v>368</v>
      </c>
    </row>
    <row r="22" spans="1:7" ht="17.25" x14ac:dyDescent="0.25">
      <c r="A22" s="6">
        <v>18</v>
      </c>
      <c r="B22" s="7" t="s">
        <v>257</v>
      </c>
      <c r="C22" t="s">
        <v>313</v>
      </c>
      <c r="D22" t="s">
        <v>14</v>
      </c>
      <c r="E22" t="s">
        <v>4</v>
      </c>
      <c r="F22" t="s">
        <v>320</v>
      </c>
      <c r="G22" t="s">
        <v>369</v>
      </c>
    </row>
    <row r="23" spans="1:7" x14ac:dyDescent="0.25">
      <c r="A23" s="6">
        <v>19</v>
      </c>
      <c r="B23" s="7" t="s">
        <v>258</v>
      </c>
      <c r="C23" t="s">
        <v>313</v>
      </c>
      <c r="D23" t="s">
        <v>12</v>
      </c>
      <c r="E23" t="s">
        <v>4</v>
      </c>
      <c r="F23" t="s">
        <v>320</v>
      </c>
      <c r="G23" t="s">
        <v>370</v>
      </c>
    </row>
    <row r="24" spans="1:7" x14ac:dyDescent="0.25">
      <c r="A24" s="6">
        <v>20</v>
      </c>
      <c r="B24" s="7" t="s">
        <v>259</v>
      </c>
      <c r="C24" t="s">
        <v>244</v>
      </c>
      <c r="D24" t="s">
        <v>314</v>
      </c>
      <c r="E24" t="s">
        <v>4</v>
      </c>
      <c r="F24" t="s">
        <v>320</v>
      </c>
      <c r="G24" t="s">
        <v>371</v>
      </c>
    </row>
    <row r="25" spans="1:7" x14ac:dyDescent="0.25">
      <c r="A25" s="6">
        <v>21</v>
      </c>
      <c r="B25" s="7" t="s">
        <v>260</v>
      </c>
      <c r="C25" t="s">
        <v>313</v>
      </c>
      <c r="D25" t="s">
        <v>12</v>
      </c>
      <c r="E25" t="s">
        <v>4</v>
      </c>
      <c r="F25" t="s">
        <v>320</v>
      </c>
      <c r="G25" t="s">
        <v>368</v>
      </c>
    </row>
    <row r="26" spans="1:7" ht="17.25" x14ac:dyDescent="0.25">
      <c r="A26" s="6">
        <v>22</v>
      </c>
      <c r="B26" s="7" t="s">
        <v>261</v>
      </c>
      <c r="C26" t="s">
        <v>313</v>
      </c>
      <c r="D26" t="s">
        <v>14</v>
      </c>
      <c r="E26" t="s">
        <v>4</v>
      </c>
      <c r="F26" t="s">
        <v>320</v>
      </c>
      <c r="G26" t="s">
        <v>372</v>
      </c>
    </row>
    <row r="27" spans="1:7" x14ac:dyDescent="0.25">
      <c r="A27" s="6">
        <v>23</v>
      </c>
      <c r="B27" s="7" t="s">
        <v>262</v>
      </c>
      <c r="C27" t="s">
        <v>313</v>
      </c>
      <c r="D27" t="s">
        <v>12</v>
      </c>
      <c r="E27" t="s">
        <v>4</v>
      </c>
      <c r="F27" t="s">
        <v>320</v>
      </c>
      <c r="G27" t="s">
        <v>373</v>
      </c>
    </row>
    <row r="28" spans="1:7" ht="17.25" x14ac:dyDescent="0.25">
      <c r="A28" s="6">
        <v>24</v>
      </c>
      <c r="B28" s="7" t="s">
        <v>263</v>
      </c>
      <c r="C28" t="s">
        <v>313</v>
      </c>
      <c r="D28" t="s">
        <v>14</v>
      </c>
      <c r="E28" t="s">
        <v>4</v>
      </c>
      <c r="F28" t="s">
        <v>320</v>
      </c>
      <c r="G28" t="s">
        <v>374</v>
      </c>
    </row>
    <row r="29" spans="1:7" x14ac:dyDescent="0.25">
      <c r="A29" s="6">
        <v>25</v>
      </c>
      <c r="B29" s="7" t="s">
        <v>264</v>
      </c>
      <c r="C29" t="s">
        <v>313</v>
      </c>
      <c r="D29" t="s">
        <v>12</v>
      </c>
      <c r="E29" t="s">
        <v>4</v>
      </c>
      <c r="F29" t="s">
        <v>320</v>
      </c>
      <c r="G29" t="s">
        <v>375</v>
      </c>
    </row>
    <row r="30" spans="1:7" ht="17.25" x14ac:dyDescent="0.25">
      <c r="A30" s="6">
        <v>26</v>
      </c>
      <c r="B30" s="7" t="s">
        <v>265</v>
      </c>
      <c r="C30" t="s">
        <v>313</v>
      </c>
      <c r="D30" t="s">
        <v>14</v>
      </c>
      <c r="E30" t="s">
        <v>4</v>
      </c>
      <c r="F30" t="s">
        <v>320</v>
      </c>
      <c r="G30" t="s">
        <v>376</v>
      </c>
    </row>
    <row r="31" spans="1:7" x14ac:dyDescent="0.25">
      <c r="A31" s="6"/>
      <c r="B31" s="7" t="s">
        <v>266</v>
      </c>
      <c r="C31" t="s">
        <v>313</v>
      </c>
      <c r="F31" t="s">
        <v>320</v>
      </c>
      <c r="G31" t="s">
        <v>377</v>
      </c>
    </row>
    <row r="32" spans="1:7" ht="17.25" x14ac:dyDescent="0.25">
      <c r="A32" s="6">
        <v>28</v>
      </c>
      <c r="B32" s="43" t="s">
        <v>267</v>
      </c>
      <c r="C32" t="s">
        <v>313</v>
      </c>
      <c r="D32" t="s">
        <v>14</v>
      </c>
      <c r="E32" s="8" t="s">
        <v>318</v>
      </c>
      <c r="F32" t="s">
        <v>320</v>
      </c>
      <c r="G32" t="s">
        <v>378</v>
      </c>
    </row>
    <row r="33" spans="1:7" x14ac:dyDescent="0.25">
      <c r="A33" s="6">
        <v>29</v>
      </c>
      <c r="B33" s="43" t="s">
        <v>268</v>
      </c>
      <c r="C33" t="s">
        <v>15</v>
      </c>
      <c r="D33" t="s">
        <v>15</v>
      </c>
      <c r="E33" t="s">
        <v>4</v>
      </c>
      <c r="F33" t="s">
        <v>320</v>
      </c>
      <c r="G33" t="s">
        <v>379</v>
      </c>
    </row>
    <row r="34" spans="1:7" ht="17.25" x14ac:dyDescent="0.25">
      <c r="A34" s="6">
        <v>30</v>
      </c>
      <c r="B34" s="7" t="s">
        <v>269</v>
      </c>
      <c r="C34" t="s">
        <v>313</v>
      </c>
      <c r="D34" t="s">
        <v>14</v>
      </c>
      <c r="E34" t="s">
        <v>4</v>
      </c>
      <c r="F34" t="s">
        <v>320</v>
      </c>
      <c r="G34" t="s">
        <v>380</v>
      </c>
    </row>
    <row r="35" spans="1:7" x14ac:dyDescent="0.25">
      <c r="A35" s="6">
        <v>31</v>
      </c>
      <c r="B35" s="43" t="s">
        <v>270</v>
      </c>
      <c r="C35" t="s">
        <v>15</v>
      </c>
      <c r="D35" t="s">
        <v>15</v>
      </c>
      <c r="E35" t="s">
        <v>4</v>
      </c>
      <c r="F35" t="s">
        <v>320</v>
      </c>
      <c r="G35" t="s">
        <v>381</v>
      </c>
    </row>
    <row r="36" spans="1:7" ht="17.25" x14ac:dyDescent="0.25">
      <c r="A36" s="6">
        <v>32</v>
      </c>
      <c r="B36" s="7" t="s">
        <v>271</v>
      </c>
      <c r="C36" t="s">
        <v>313</v>
      </c>
      <c r="D36" t="s">
        <v>14</v>
      </c>
      <c r="E36" t="s">
        <v>4</v>
      </c>
      <c r="F36" t="s">
        <v>320</v>
      </c>
      <c r="G36" t="s">
        <v>382</v>
      </c>
    </row>
    <row r="37" spans="1:7" ht="17.25" x14ac:dyDescent="0.25">
      <c r="A37" s="6">
        <v>33</v>
      </c>
      <c r="B37" s="7" t="s">
        <v>272</v>
      </c>
      <c r="C37" t="s">
        <v>313</v>
      </c>
      <c r="D37" t="s">
        <v>14</v>
      </c>
      <c r="E37" t="s">
        <v>4</v>
      </c>
      <c r="F37" t="s">
        <v>320</v>
      </c>
      <c r="G37" t="s">
        <v>383</v>
      </c>
    </row>
    <row r="38" spans="1:7" ht="17.25" x14ac:dyDescent="0.25">
      <c r="A38" s="6">
        <v>34</v>
      </c>
      <c r="B38" s="7" t="s">
        <v>273</v>
      </c>
      <c r="C38" t="s">
        <v>313</v>
      </c>
      <c r="D38" t="s">
        <v>14</v>
      </c>
      <c r="E38" t="s">
        <v>4</v>
      </c>
      <c r="F38" t="s">
        <v>320</v>
      </c>
      <c r="G38" t="s">
        <v>384</v>
      </c>
    </row>
    <row r="39" spans="1:7" x14ac:dyDescent="0.25">
      <c r="A39" s="6">
        <v>35</v>
      </c>
      <c r="B39" s="7" t="s">
        <v>274</v>
      </c>
      <c r="C39" t="s">
        <v>313</v>
      </c>
      <c r="D39" t="s">
        <v>315</v>
      </c>
      <c r="E39" t="s">
        <v>4</v>
      </c>
      <c r="F39" t="s">
        <v>320</v>
      </c>
      <c r="G39" t="s">
        <v>385</v>
      </c>
    </row>
    <row r="40" spans="1:7" x14ac:dyDescent="0.25">
      <c r="A40" s="6">
        <v>36</v>
      </c>
      <c r="B40" s="7" t="s">
        <v>275</v>
      </c>
      <c r="C40" t="s">
        <v>313</v>
      </c>
      <c r="D40" t="s">
        <v>315</v>
      </c>
      <c r="E40" t="s">
        <v>4</v>
      </c>
      <c r="F40" t="s">
        <v>320</v>
      </c>
      <c r="G40" t="s">
        <v>386</v>
      </c>
    </row>
    <row r="41" spans="1:7" x14ac:dyDescent="0.25">
      <c r="A41" s="6">
        <v>37</v>
      </c>
      <c r="B41" s="7" t="s">
        <v>276</v>
      </c>
      <c r="C41" t="s">
        <v>313</v>
      </c>
      <c r="D41" t="s">
        <v>315</v>
      </c>
      <c r="E41" t="s">
        <v>4</v>
      </c>
      <c r="F41" t="s">
        <v>320</v>
      </c>
      <c r="G41" t="s">
        <v>387</v>
      </c>
    </row>
    <row r="42" spans="1:7" x14ac:dyDescent="0.25">
      <c r="A42" s="6">
        <v>38</v>
      </c>
      <c r="B42" s="7" t="s">
        <v>277</v>
      </c>
      <c r="C42" t="s">
        <v>313</v>
      </c>
      <c r="D42" t="s">
        <v>315</v>
      </c>
      <c r="E42" t="s">
        <v>4</v>
      </c>
      <c r="F42" t="s">
        <v>320</v>
      </c>
      <c r="G42" t="s">
        <v>388</v>
      </c>
    </row>
    <row r="43" spans="1:7" x14ac:dyDescent="0.25">
      <c r="A43" s="6">
        <v>39</v>
      </c>
      <c r="B43" s="7" t="s">
        <v>278</v>
      </c>
      <c r="C43" t="s">
        <v>313</v>
      </c>
      <c r="D43" t="s">
        <v>315</v>
      </c>
      <c r="E43" t="s">
        <v>4</v>
      </c>
      <c r="F43" t="s">
        <v>320</v>
      </c>
      <c r="G43" t="s">
        <v>389</v>
      </c>
    </row>
    <row r="44" spans="1:7" x14ac:dyDescent="0.25">
      <c r="A44" s="6">
        <v>40</v>
      </c>
      <c r="B44" s="7" t="s">
        <v>279</v>
      </c>
      <c r="C44" t="s">
        <v>313</v>
      </c>
      <c r="D44" t="s">
        <v>315</v>
      </c>
      <c r="E44" t="s">
        <v>4</v>
      </c>
      <c r="F44" t="s">
        <v>320</v>
      </c>
      <c r="G44" t="s">
        <v>390</v>
      </c>
    </row>
    <row r="45" spans="1:7" x14ac:dyDescent="0.25">
      <c r="A45" s="6">
        <v>41</v>
      </c>
      <c r="B45" s="7" t="s">
        <v>280</v>
      </c>
      <c r="C45" t="s">
        <v>313</v>
      </c>
      <c r="D45" t="s">
        <v>315</v>
      </c>
      <c r="E45" t="s">
        <v>4</v>
      </c>
      <c r="F45" t="s">
        <v>320</v>
      </c>
      <c r="G45" t="s">
        <v>391</v>
      </c>
    </row>
    <row r="46" spans="1:7" x14ac:dyDescent="0.25">
      <c r="A46" s="6">
        <v>42</v>
      </c>
      <c r="B46" s="7" t="s">
        <v>281</v>
      </c>
      <c r="C46" t="s">
        <v>313</v>
      </c>
      <c r="D46" t="s">
        <v>315</v>
      </c>
      <c r="E46" t="s">
        <v>4</v>
      </c>
      <c r="F46" t="s">
        <v>320</v>
      </c>
      <c r="G46" t="s">
        <v>392</v>
      </c>
    </row>
    <row r="47" spans="1:7" x14ac:dyDescent="0.25">
      <c r="A47" s="6">
        <v>43</v>
      </c>
      <c r="B47" s="7" t="s">
        <v>282</v>
      </c>
      <c r="C47" t="s">
        <v>313</v>
      </c>
      <c r="D47" t="s">
        <v>315</v>
      </c>
      <c r="E47" t="s">
        <v>4</v>
      </c>
      <c r="F47" t="s">
        <v>320</v>
      </c>
      <c r="G47" t="s">
        <v>393</v>
      </c>
    </row>
    <row r="48" spans="1:7" x14ac:dyDescent="0.25">
      <c r="A48" s="6">
        <v>44</v>
      </c>
      <c r="B48" s="7" t="s">
        <v>283</v>
      </c>
      <c r="C48" t="s">
        <v>313</v>
      </c>
      <c r="D48" t="s">
        <v>315</v>
      </c>
      <c r="E48" t="s">
        <v>4</v>
      </c>
      <c r="F48" t="s">
        <v>320</v>
      </c>
      <c r="G48" t="s">
        <v>394</v>
      </c>
    </row>
    <row r="49" spans="1:7" x14ac:dyDescent="0.25">
      <c r="A49" s="6">
        <v>45</v>
      </c>
      <c r="B49" s="7" t="s">
        <v>284</v>
      </c>
      <c r="C49" t="s">
        <v>313</v>
      </c>
      <c r="D49" t="s">
        <v>315</v>
      </c>
      <c r="E49" t="s">
        <v>4</v>
      </c>
      <c r="F49" t="s">
        <v>320</v>
      </c>
      <c r="G49" t="s">
        <v>395</v>
      </c>
    </row>
    <row r="50" spans="1:7" x14ac:dyDescent="0.25">
      <c r="A50" s="6">
        <v>46</v>
      </c>
      <c r="B50" s="7" t="s">
        <v>285</v>
      </c>
      <c r="C50" t="s">
        <v>313</v>
      </c>
      <c r="D50" t="s">
        <v>315</v>
      </c>
      <c r="E50" t="s">
        <v>4</v>
      </c>
      <c r="F50" t="s">
        <v>320</v>
      </c>
      <c r="G50" t="s">
        <v>396</v>
      </c>
    </row>
    <row r="51" spans="1:7" x14ac:dyDescent="0.25">
      <c r="A51" s="6">
        <v>47</v>
      </c>
      <c r="B51" s="7" t="s">
        <v>286</v>
      </c>
      <c r="C51" t="s">
        <v>313</v>
      </c>
      <c r="D51" t="s">
        <v>315</v>
      </c>
      <c r="E51" t="s">
        <v>4</v>
      </c>
      <c r="F51" t="s">
        <v>320</v>
      </c>
      <c r="G51" t="s">
        <v>397</v>
      </c>
    </row>
    <row r="52" spans="1:7" x14ac:dyDescent="0.25">
      <c r="A52" s="6">
        <v>48</v>
      </c>
      <c r="B52" s="7" t="s">
        <v>287</v>
      </c>
      <c r="C52" t="s">
        <v>313</v>
      </c>
      <c r="D52" t="s">
        <v>315</v>
      </c>
      <c r="E52" t="s">
        <v>4</v>
      </c>
      <c r="F52" t="s">
        <v>320</v>
      </c>
      <c r="G52" t="s">
        <v>398</v>
      </c>
    </row>
    <row r="53" spans="1:7" x14ac:dyDescent="0.25">
      <c r="A53" s="6">
        <v>49</v>
      </c>
      <c r="B53" s="7" t="s">
        <v>288</v>
      </c>
      <c r="C53" t="s">
        <v>313</v>
      </c>
      <c r="D53" t="s">
        <v>315</v>
      </c>
      <c r="E53" t="s">
        <v>4</v>
      </c>
      <c r="F53" t="s">
        <v>320</v>
      </c>
      <c r="G53" t="s">
        <v>399</v>
      </c>
    </row>
    <row r="54" spans="1:7" x14ac:dyDescent="0.25">
      <c r="A54" s="6">
        <v>50</v>
      </c>
      <c r="B54" s="7" t="s">
        <v>289</v>
      </c>
      <c r="C54" t="s">
        <v>313</v>
      </c>
      <c r="D54" t="s">
        <v>315</v>
      </c>
      <c r="E54" t="s">
        <v>4</v>
      </c>
      <c r="F54" t="s">
        <v>320</v>
      </c>
      <c r="G54" t="s">
        <v>400</v>
      </c>
    </row>
    <row r="55" spans="1:7" x14ac:dyDescent="0.25">
      <c r="A55" s="6">
        <v>51</v>
      </c>
      <c r="B55" s="7" t="s">
        <v>290</v>
      </c>
      <c r="C55" t="s">
        <v>313</v>
      </c>
      <c r="D55" t="s">
        <v>315</v>
      </c>
      <c r="E55" t="s">
        <v>4</v>
      </c>
      <c r="F55" t="s">
        <v>320</v>
      </c>
      <c r="G55" t="s">
        <v>401</v>
      </c>
    </row>
    <row r="56" spans="1:7" x14ac:dyDescent="0.25">
      <c r="A56" s="6">
        <v>52</v>
      </c>
      <c r="B56" s="7" t="s">
        <v>291</v>
      </c>
      <c r="C56" t="s">
        <v>313</v>
      </c>
      <c r="D56" t="s">
        <v>315</v>
      </c>
      <c r="E56" t="s">
        <v>4</v>
      </c>
      <c r="F56" t="s">
        <v>320</v>
      </c>
      <c r="G56" t="s">
        <v>402</v>
      </c>
    </row>
    <row r="57" spans="1:7" x14ac:dyDescent="0.25">
      <c r="A57" s="6">
        <v>53</v>
      </c>
      <c r="B57" s="7" t="s">
        <v>292</v>
      </c>
      <c r="C57" t="s">
        <v>313</v>
      </c>
      <c r="D57" t="s">
        <v>315</v>
      </c>
      <c r="E57" t="s">
        <v>4</v>
      </c>
      <c r="F57" t="s">
        <v>320</v>
      </c>
      <c r="G57" t="s">
        <v>403</v>
      </c>
    </row>
    <row r="58" spans="1:7" x14ac:dyDescent="0.25">
      <c r="A58" s="6">
        <v>54</v>
      </c>
      <c r="B58" s="7" t="s">
        <v>293</v>
      </c>
      <c r="C58" t="s">
        <v>313</v>
      </c>
      <c r="D58" t="s">
        <v>315</v>
      </c>
      <c r="E58" t="s">
        <v>4</v>
      </c>
      <c r="F58" t="s">
        <v>320</v>
      </c>
      <c r="G58" t="s">
        <v>404</v>
      </c>
    </row>
    <row r="59" spans="1:7" x14ac:dyDescent="0.25">
      <c r="A59" s="6">
        <v>55</v>
      </c>
      <c r="B59" s="7" t="s">
        <v>294</v>
      </c>
      <c r="C59" t="s">
        <v>313</v>
      </c>
      <c r="D59" t="s">
        <v>315</v>
      </c>
      <c r="E59" t="s">
        <v>4</v>
      </c>
      <c r="F59" t="s">
        <v>320</v>
      </c>
      <c r="G59" t="s">
        <v>405</v>
      </c>
    </row>
    <row r="60" spans="1:7" x14ac:dyDescent="0.25">
      <c r="A60" s="6">
        <v>56</v>
      </c>
      <c r="B60" s="7"/>
    </row>
    <row r="61" spans="1:7" x14ac:dyDescent="0.25">
      <c r="A61" s="6">
        <v>57</v>
      </c>
      <c r="B61" s="7"/>
    </row>
    <row r="62" spans="1:7" x14ac:dyDescent="0.25">
      <c r="A62" s="6">
        <v>58</v>
      </c>
      <c r="B62" s="7"/>
    </row>
    <row r="63" spans="1:7" x14ac:dyDescent="0.25">
      <c r="A63" s="6">
        <v>59</v>
      </c>
      <c r="B63" s="7" t="s">
        <v>295</v>
      </c>
      <c r="C63" t="s">
        <v>313</v>
      </c>
      <c r="D63" t="s">
        <v>315</v>
      </c>
      <c r="E63" t="s">
        <v>4</v>
      </c>
      <c r="F63" t="s">
        <v>320</v>
      </c>
      <c r="G63" t="s">
        <v>406</v>
      </c>
    </row>
    <row r="64" spans="1:7" x14ac:dyDescent="0.25">
      <c r="A64" s="6">
        <v>60</v>
      </c>
      <c r="B64" s="7" t="s">
        <v>334</v>
      </c>
      <c r="C64" t="s">
        <v>313</v>
      </c>
      <c r="D64" t="s">
        <v>315</v>
      </c>
      <c r="E64" t="s">
        <v>4</v>
      </c>
      <c r="F64" t="s">
        <v>320</v>
      </c>
      <c r="G64" t="s">
        <v>417</v>
      </c>
    </row>
    <row r="65" spans="1:7" ht="17.25" x14ac:dyDescent="0.25">
      <c r="A65" s="9">
        <v>61</v>
      </c>
      <c r="B65" s="10" t="s">
        <v>18</v>
      </c>
      <c r="C65" t="s">
        <v>313</v>
      </c>
      <c r="D65" t="s">
        <v>19</v>
      </c>
      <c r="E65" s="11" t="s">
        <v>319</v>
      </c>
      <c r="F65" t="s">
        <v>321</v>
      </c>
      <c r="G65" t="s">
        <v>407</v>
      </c>
    </row>
    <row r="66" spans="1:7" ht="17.25" x14ac:dyDescent="0.25">
      <c r="A66" s="9">
        <v>62</v>
      </c>
      <c r="B66" s="10" t="s">
        <v>20</v>
      </c>
      <c r="C66" t="s">
        <v>313</v>
      </c>
      <c r="D66" t="s">
        <v>19</v>
      </c>
      <c r="E66" s="11" t="s">
        <v>319</v>
      </c>
      <c r="F66" t="s">
        <v>236</v>
      </c>
      <c r="G66" t="s">
        <v>408</v>
      </c>
    </row>
    <row r="67" spans="1:7" ht="17.25" x14ac:dyDescent="0.25">
      <c r="A67" s="9">
        <v>63</v>
      </c>
      <c r="B67" s="10" t="s">
        <v>322</v>
      </c>
      <c r="C67" t="s">
        <v>313</v>
      </c>
      <c r="D67" t="s">
        <v>19</v>
      </c>
      <c r="E67" s="11" t="s">
        <v>319</v>
      </c>
      <c r="F67" t="s">
        <v>237</v>
      </c>
      <c r="G67" t="s">
        <v>409</v>
      </c>
    </row>
    <row r="68" spans="1:7" ht="17.25" x14ac:dyDescent="0.25">
      <c r="A68" s="9">
        <v>64</v>
      </c>
      <c r="B68" s="10" t="s">
        <v>323</v>
      </c>
      <c r="C68" t="s">
        <v>313</v>
      </c>
      <c r="D68" t="s">
        <v>21</v>
      </c>
      <c r="E68" s="11" t="s">
        <v>319</v>
      </c>
      <c r="F68" t="s">
        <v>238</v>
      </c>
      <c r="G68" t="s">
        <v>410</v>
      </c>
    </row>
    <row r="69" spans="1:7" ht="17.25" x14ac:dyDescent="0.25">
      <c r="A69" s="9">
        <v>65</v>
      </c>
      <c r="B69" s="65" t="s">
        <v>324</v>
      </c>
      <c r="C69" t="s">
        <v>313</v>
      </c>
      <c r="D69" t="s">
        <v>19</v>
      </c>
      <c r="E69" s="11" t="s">
        <v>319</v>
      </c>
      <c r="F69" t="s">
        <v>239</v>
      </c>
      <c r="G69" t="s">
        <v>412</v>
      </c>
    </row>
    <row r="70" spans="1:7" ht="17.25" x14ac:dyDescent="0.25">
      <c r="A70" s="9">
        <v>66</v>
      </c>
      <c r="B70" s="65" t="s">
        <v>325</v>
      </c>
      <c r="C70" t="s">
        <v>313</v>
      </c>
      <c r="D70" t="s">
        <v>21</v>
      </c>
      <c r="E70" s="11" t="s">
        <v>319</v>
      </c>
      <c r="F70" t="s">
        <v>240</v>
      </c>
      <c r="G70" t="s">
        <v>411</v>
      </c>
    </row>
    <row r="71" spans="1:7" ht="17.25" x14ac:dyDescent="0.25">
      <c r="A71" s="12">
        <v>67</v>
      </c>
      <c r="B71" s="13" t="s">
        <v>22</v>
      </c>
      <c r="C71" t="s">
        <v>313</v>
      </c>
      <c r="D71" t="s">
        <v>9</v>
      </c>
      <c r="E71" s="11" t="s">
        <v>319</v>
      </c>
      <c r="F71" t="s">
        <v>335</v>
      </c>
      <c r="G71" t="s">
        <v>413</v>
      </c>
    </row>
    <row r="72" spans="1:7" ht="17.25" x14ac:dyDescent="0.25">
      <c r="A72" s="12">
        <v>68</v>
      </c>
      <c r="B72" s="13" t="s">
        <v>296</v>
      </c>
      <c r="C72" t="s">
        <v>313</v>
      </c>
      <c r="D72" t="s">
        <v>9</v>
      </c>
      <c r="E72" s="11" t="s">
        <v>319</v>
      </c>
      <c r="F72" t="s">
        <v>336</v>
      </c>
      <c r="G72" t="s">
        <v>414</v>
      </c>
    </row>
    <row r="73" spans="1:7" ht="17.25" x14ac:dyDescent="0.25">
      <c r="A73" s="12">
        <v>69</v>
      </c>
      <c r="B73" s="13" t="s">
        <v>23</v>
      </c>
      <c r="C73" t="s">
        <v>313</v>
      </c>
      <c r="D73" t="s">
        <v>9</v>
      </c>
      <c r="E73" s="11" t="s">
        <v>319</v>
      </c>
      <c r="F73" t="s">
        <v>337</v>
      </c>
      <c r="G73" t="s">
        <v>415</v>
      </c>
    </row>
    <row r="74" spans="1:7" ht="17.25" x14ac:dyDescent="0.25">
      <c r="A74" s="12">
        <v>70</v>
      </c>
      <c r="B74" s="13" t="s">
        <v>24</v>
      </c>
      <c r="C74" t="s">
        <v>313</v>
      </c>
      <c r="D74" t="s">
        <v>9</v>
      </c>
      <c r="E74" s="11" t="s">
        <v>319</v>
      </c>
      <c r="F74" t="s">
        <v>241</v>
      </c>
      <c r="G74" t="s">
        <v>416</v>
      </c>
    </row>
    <row r="75" spans="1:7" ht="17.25" x14ac:dyDescent="0.25">
      <c r="A75" s="12">
        <v>71</v>
      </c>
      <c r="B75" s="13" t="s">
        <v>334</v>
      </c>
      <c r="C75" t="s">
        <v>313</v>
      </c>
      <c r="D75" t="s">
        <v>9</v>
      </c>
      <c r="E75" s="11" t="s">
        <v>319</v>
      </c>
      <c r="F75" t="s">
        <v>338</v>
      </c>
      <c r="G75" t="s">
        <v>418</v>
      </c>
    </row>
    <row r="76" spans="1:7" ht="17.25" x14ac:dyDescent="0.25">
      <c r="A76" s="14">
        <v>72</v>
      </c>
      <c r="B76" s="67" t="s">
        <v>25</v>
      </c>
      <c r="C76" t="s">
        <v>313</v>
      </c>
      <c r="D76" t="s">
        <v>26</v>
      </c>
      <c r="E76" s="11" t="s">
        <v>319</v>
      </c>
      <c r="F76" t="s">
        <v>339</v>
      </c>
      <c r="G76" t="s">
        <v>419</v>
      </c>
    </row>
    <row r="77" spans="1:7" ht="17.25" x14ac:dyDescent="0.25">
      <c r="A77" s="14">
        <v>73</v>
      </c>
      <c r="B77" s="67" t="s">
        <v>27</v>
      </c>
      <c r="C77" t="s">
        <v>313</v>
      </c>
      <c r="D77" t="s">
        <v>26</v>
      </c>
      <c r="E77" s="11" t="s">
        <v>319</v>
      </c>
      <c r="F77" t="s">
        <v>340</v>
      </c>
      <c r="G77" t="s">
        <v>420</v>
      </c>
    </row>
    <row r="78" spans="1:7" ht="17.25" x14ac:dyDescent="0.25">
      <c r="A78" s="16">
        <v>74</v>
      </c>
      <c r="B78" s="17" t="s">
        <v>28</v>
      </c>
      <c r="C78" t="s">
        <v>313</v>
      </c>
      <c r="D78" t="s">
        <v>9</v>
      </c>
      <c r="E78" s="11" t="s">
        <v>319</v>
      </c>
      <c r="F78" t="s">
        <v>341</v>
      </c>
      <c r="G78" t="s">
        <v>421</v>
      </c>
    </row>
    <row r="79" spans="1:7" ht="17.25" x14ac:dyDescent="0.25">
      <c r="A79" s="16">
        <v>75</v>
      </c>
      <c r="B79" s="17" t="s">
        <v>297</v>
      </c>
      <c r="C79" t="s">
        <v>313</v>
      </c>
      <c r="D79" t="s">
        <v>9</v>
      </c>
      <c r="E79" s="11" t="s">
        <v>319</v>
      </c>
      <c r="F79" t="s">
        <v>342</v>
      </c>
      <c r="G79" t="s">
        <v>422</v>
      </c>
    </row>
    <row r="80" spans="1:7" x14ac:dyDescent="0.25">
      <c r="A80" s="18">
        <v>76</v>
      </c>
      <c r="E80" s="11"/>
    </row>
    <row r="81" spans="1:7" x14ac:dyDescent="0.25">
      <c r="A81" s="19">
        <v>77</v>
      </c>
      <c r="B81" s="20" t="s">
        <v>327</v>
      </c>
      <c r="C81" t="s">
        <v>313</v>
      </c>
      <c r="D81" t="s">
        <v>315</v>
      </c>
      <c r="E81" s="11" t="s">
        <v>319</v>
      </c>
      <c r="F81" t="s">
        <v>343</v>
      </c>
      <c r="G81" t="s">
        <v>385</v>
      </c>
    </row>
    <row r="82" spans="1:7" x14ac:dyDescent="0.25">
      <c r="A82" s="19">
        <v>78</v>
      </c>
      <c r="B82" s="20" t="s">
        <v>298</v>
      </c>
      <c r="C82" t="s">
        <v>313</v>
      </c>
      <c r="D82" t="s">
        <v>315</v>
      </c>
      <c r="E82" s="11" t="s">
        <v>319</v>
      </c>
      <c r="F82" t="s">
        <v>343</v>
      </c>
      <c r="G82" t="s">
        <v>386</v>
      </c>
    </row>
    <row r="83" spans="1:7" x14ac:dyDescent="0.25">
      <c r="A83" s="19">
        <v>79</v>
      </c>
      <c r="B83" s="20" t="s">
        <v>299</v>
      </c>
      <c r="C83" t="s">
        <v>313</v>
      </c>
      <c r="D83" t="s">
        <v>315</v>
      </c>
      <c r="E83" s="11" t="s">
        <v>319</v>
      </c>
      <c r="F83" t="s">
        <v>343</v>
      </c>
      <c r="G83" t="s">
        <v>387</v>
      </c>
    </row>
    <row r="84" spans="1:7" x14ac:dyDescent="0.25">
      <c r="A84" s="19">
        <v>80</v>
      </c>
      <c r="B84" s="20" t="s">
        <v>269</v>
      </c>
      <c r="C84" t="s">
        <v>313</v>
      </c>
      <c r="D84" t="s">
        <v>317</v>
      </c>
      <c r="E84" s="11" t="s">
        <v>319</v>
      </c>
      <c r="F84" t="s">
        <v>345</v>
      </c>
      <c r="G84" t="s">
        <v>423</v>
      </c>
    </row>
    <row r="85" spans="1:7" x14ac:dyDescent="0.25">
      <c r="A85" s="19">
        <v>81</v>
      </c>
      <c r="B85" s="20" t="s">
        <v>328</v>
      </c>
      <c r="C85" t="s">
        <v>313</v>
      </c>
      <c r="D85" t="s">
        <v>315</v>
      </c>
      <c r="E85" s="11" t="s">
        <v>319</v>
      </c>
      <c r="F85" t="s">
        <v>343</v>
      </c>
      <c r="G85" t="s">
        <v>388</v>
      </c>
    </row>
    <row r="86" spans="1:7" x14ac:dyDescent="0.25">
      <c r="A86" s="19">
        <v>82</v>
      </c>
      <c r="B86" s="20" t="s">
        <v>278</v>
      </c>
      <c r="C86" t="s">
        <v>313</v>
      </c>
      <c r="D86" t="s">
        <v>315</v>
      </c>
      <c r="E86" s="11" t="s">
        <v>319</v>
      </c>
      <c r="F86" t="s">
        <v>343</v>
      </c>
      <c r="G86" t="s">
        <v>389</v>
      </c>
    </row>
    <row r="87" spans="1:7" x14ac:dyDescent="0.25">
      <c r="A87" s="19">
        <v>83</v>
      </c>
      <c r="B87" s="20" t="s">
        <v>279</v>
      </c>
      <c r="C87" t="s">
        <v>313</v>
      </c>
      <c r="D87" t="s">
        <v>315</v>
      </c>
      <c r="E87" s="11" t="s">
        <v>319</v>
      </c>
      <c r="F87" t="s">
        <v>343</v>
      </c>
      <c r="G87" t="s">
        <v>390</v>
      </c>
    </row>
    <row r="88" spans="1:7" x14ac:dyDescent="0.25">
      <c r="A88" s="19">
        <v>84</v>
      </c>
      <c r="B88" s="20" t="s">
        <v>271</v>
      </c>
      <c r="C88" t="s">
        <v>313</v>
      </c>
      <c r="D88" t="s">
        <v>317</v>
      </c>
      <c r="E88" s="11" t="s">
        <v>319</v>
      </c>
      <c r="F88" t="s">
        <v>346</v>
      </c>
      <c r="G88" t="s">
        <v>424</v>
      </c>
    </row>
    <row r="89" spans="1:7" x14ac:dyDescent="0.25">
      <c r="A89" s="19">
        <v>85</v>
      </c>
      <c r="B89" s="20" t="s">
        <v>329</v>
      </c>
      <c r="C89" t="s">
        <v>313</v>
      </c>
      <c r="D89" t="s">
        <v>315</v>
      </c>
      <c r="E89" s="11" t="s">
        <v>319</v>
      </c>
      <c r="F89" t="s">
        <v>343</v>
      </c>
      <c r="G89" t="s">
        <v>391</v>
      </c>
    </row>
    <row r="90" spans="1:7" x14ac:dyDescent="0.25">
      <c r="A90" s="19">
        <v>86</v>
      </c>
      <c r="B90" s="20" t="s">
        <v>281</v>
      </c>
      <c r="C90" t="s">
        <v>313</v>
      </c>
      <c r="D90" t="s">
        <v>315</v>
      </c>
      <c r="E90" s="11" t="s">
        <v>319</v>
      </c>
      <c r="F90" t="s">
        <v>343</v>
      </c>
      <c r="G90" t="s">
        <v>392</v>
      </c>
    </row>
    <row r="91" spans="1:7" x14ac:dyDescent="0.25">
      <c r="A91" s="19">
        <v>87</v>
      </c>
      <c r="B91" s="20" t="s">
        <v>300</v>
      </c>
      <c r="C91" t="s">
        <v>313</v>
      </c>
      <c r="D91" t="s">
        <v>315</v>
      </c>
      <c r="E91" s="11" t="s">
        <v>319</v>
      </c>
      <c r="F91" t="s">
        <v>343</v>
      </c>
      <c r="G91" t="s">
        <v>393</v>
      </c>
    </row>
    <row r="92" spans="1:7" x14ac:dyDescent="0.25">
      <c r="A92" s="19">
        <v>88</v>
      </c>
      <c r="B92" s="20" t="s">
        <v>272</v>
      </c>
      <c r="C92" t="s">
        <v>313</v>
      </c>
      <c r="D92" t="s">
        <v>317</v>
      </c>
      <c r="E92" s="11" t="s">
        <v>319</v>
      </c>
      <c r="F92" t="s">
        <v>347</v>
      </c>
      <c r="G92" t="s">
        <v>425</v>
      </c>
    </row>
    <row r="93" spans="1:7" x14ac:dyDescent="0.25">
      <c r="A93" s="19">
        <v>89</v>
      </c>
      <c r="B93" s="20" t="s">
        <v>330</v>
      </c>
      <c r="C93" t="s">
        <v>313</v>
      </c>
      <c r="D93" t="s">
        <v>315</v>
      </c>
      <c r="E93" s="11" t="s">
        <v>319</v>
      </c>
      <c r="F93" t="s">
        <v>343</v>
      </c>
      <c r="G93" t="s">
        <v>394</v>
      </c>
    </row>
    <row r="94" spans="1:7" x14ac:dyDescent="0.25">
      <c r="A94" s="19">
        <v>90</v>
      </c>
      <c r="B94" s="20" t="s">
        <v>284</v>
      </c>
      <c r="C94" t="s">
        <v>313</v>
      </c>
      <c r="D94" t="s">
        <v>315</v>
      </c>
      <c r="E94" s="11" t="s">
        <v>319</v>
      </c>
      <c r="F94" t="s">
        <v>343</v>
      </c>
      <c r="G94" t="s">
        <v>395</v>
      </c>
    </row>
    <row r="95" spans="1:7" x14ac:dyDescent="0.25">
      <c r="A95" s="19">
        <v>91</v>
      </c>
      <c r="B95" s="20" t="s">
        <v>285</v>
      </c>
      <c r="C95" t="s">
        <v>313</v>
      </c>
      <c r="D95" t="s">
        <v>315</v>
      </c>
      <c r="E95" s="11" t="s">
        <v>319</v>
      </c>
      <c r="F95" t="s">
        <v>343</v>
      </c>
      <c r="G95" t="s">
        <v>396</v>
      </c>
    </row>
    <row r="96" spans="1:7" x14ac:dyDescent="0.25">
      <c r="A96" s="19">
        <v>92</v>
      </c>
      <c r="B96" s="20" t="s">
        <v>273</v>
      </c>
      <c r="C96" t="s">
        <v>313</v>
      </c>
      <c r="D96" t="s">
        <v>317</v>
      </c>
      <c r="E96" s="11" t="s">
        <v>319</v>
      </c>
      <c r="F96" t="s">
        <v>348</v>
      </c>
      <c r="G96" t="s">
        <v>426</v>
      </c>
    </row>
    <row r="97" spans="1:7" x14ac:dyDescent="0.25">
      <c r="A97" s="19">
        <v>93</v>
      </c>
      <c r="B97" s="20" t="s">
        <v>331</v>
      </c>
      <c r="C97" t="s">
        <v>313</v>
      </c>
      <c r="D97" t="s">
        <v>315</v>
      </c>
      <c r="E97" s="11" t="s">
        <v>319</v>
      </c>
      <c r="F97" t="s">
        <v>343</v>
      </c>
      <c r="G97" t="s">
        <v>397</v>
      </c>
    </row>
    <row r="98" spans="1:7" x14ac:dyDescent="0.25">
      <c r="A98" s="19">
        <v>94</v>
      </c>
      <c r="B98" s="20" t="s">
        <v>287</v>
      </c>
      <c r="C98" t="s">
        <v>313</v>
      </c>
      <c r="D98" t="s">
        <v>315</v>
      </c>
      <c r="E98" s="11" t="s">
        <v>319</v>
      </c>
      <c r="F98" t="s">
        <v>343</v>
      </c>
      <c r="G98" t="s">
        <v>398</v>
      </c>
    </row>
    <row r="99" spans="1:7" x14ac:dyDescent="0.25">
      <c r="A99" s="19">
        <v>95</v>
      </c>
      <c r="B99" s="20" t="s">
        <v>288</v>
      </c>
      <c r="C99" t="s">
        <v>313</v>
      </c>
      <c r="D99" t="s">
        <v>315</v>
      </c>
      <c r="E99" s="11" t="s">
        <v>319</v>
      </c>
      <c r="F99" t="s">
        <v>343</v>
      </c>
      <c r="G99" t="s">
        <v>399</v>
      </c>
    </row>
    <row r="100" spans="1:7" x14ac:dyDescent="0.25">
      <c r="A100" s="19">
        <v>96</v>
      </c>
      <c r="B100" s="20" t="s">
        <v>332</v>
      </c>
      <c r="C100" t="s">
        <v>313</v>
      </c>
      <c r="D100" t="s">
        <v>315</v>
      </c>
      <c r="E100" s="11" t="s">
        <v>319</v>
      </c>
      <c r="F100" t="s">
        <v>344</v>
      </c>
      <c r="G100" t="s">
        <v>400</v>
      </c>
    </row>
    <row r="101" spans="1:7" x14ac:dyDescent="0.25">
      <c r="A101" s="19">
        <v>97</v>
      </c>
      <c r="B101" s="20" t="s">
        <v>301</v>
      </c>
      <c r="C101" t="s">
        <v>313</v>
      </c>
      <c r="D101" t="s">
        <v>315</v>
      </c>
      <c r="E101" s="11" t="s">
        <v>319</v>
      </c>
      <c r="F101" t="s">
        <v>344</v>
      </c>
      <c r="G101" t="s">
        <v>401</v>
      </c>
    </row>
    <row r="102" spans="1:7" x14ac:dyDescent="0.25">
      <c r="A102" s="19">
        <v>98</v>
      </c>
      <c r="B102" s="20" t="s">
        <v>302</v>
      </c>
      <c r="C102" t="s">
        <v>313</v>
      </c>
      <c r="D102" t="s">
        <v>315</v>
      </c>
      <c r="E102" s="11" t="s">
        <v>319</v>
      </c>
      <c r="F102" t="s">
        <v>344</v>
      </c>
      <c r="G102" t="s">
        <v>402</v>
      </c>
    </row>
    <row r="103" spans="1:7" x14ac:dyDescent="0.25">
      <c r="A103" s="19">
        <v>99</v>
      </c>
      <c r="B103" s="20" t="s">
        <v>303</v>
      </c>
      <c r="C103" t="s">
        <v>313</v>
      </c>
      <c r="D103" t="s">
        <v>315</v>
      </c>
      <c r="E103" s="11" t="s">
        <v>319</v>
      </c>
      <c r="F103" t="s">
        <v>242</v>
      </c>
      <c r="G103" t="s">
        <v>427</v>
      </c>
    </row>
    <row r="104" spans="1:7" x14ac:dyDescent="0.25">
      <c r="A104" s="19">
        <v>100</v>
      </c>
      <c r="B104" s="20" t="s">
        <v>333</v>
      </c>
      <c r="C104" t="s">
        <v>313</v>
      </c>
      <c r="D104" t="s">
        <v>315</v>
      </c>
      <c r="E104" s="11" t="s">
        <v>319</v>
      </c>
      <c r="F104" t="s">
        <v>344</v>
      </c>
      <c r="G104" t="s">
        <v>403</v>
      </c>
    </row>
    <row r="105" spans="1:7" x14ac:dyDescent="0.25">
      <c r="A105" s="19">
        <v>101</v>
      </c>
      <c r="B105" s="20" t="s">
        <v>304</v>
      </c>
      <c r="C105" t="s">
        <v>313</v>
      </c>
      <c r="D105" t="s">
        <v>315</v>
      </c>
      <c r="E105" s="11" t="s">
        <v>319</v>
      </c>
      <c r="F105" t="s">
        <v>344</v>
      </c>
      <c r="G105" t="s">
        <v>404</v>
      </c>
    </row>
    <row r="106" spans="1:7" x14ac:dyDescent="0.25">
      <c r="A106" s="19">
        <v>102</v>
      </c>
      <c r="B106" s="20" t="s">
        <v>305</v>
      </c>
      <c r="C106" t="s">
        <v>313</v>
      </c>
      <c r="D106" t="s">
        <v>315</v>
      </c>
      <c r="E106" s="11" t="s">
        <v>319</v>
      </c>
      <c r="F106" t="s">
        <v>344</v>
      </c>
      <c r="G106" t="s">
        <v>405</v>
      </c>
    </row>
    <row r="107" spans="1:7" x14ac:dyDescent="0.25">
      <c r="A107" s="19">
        <v>103</v>
      </c>
      <c r="B107" s="20" t="s">
        <v>306</v>
      </c>
      <c r="C107" t="s">
        <v>313</v>
      </c>
      <c r="D107" t="s">
        <v>315</v>
      </c>
      <c r="E107" s="11" t="s">
        <v>319</v>
      </c>
      <c r="F107" t="s">
        <v>243</v>
      </c>
      <c r="G107" t="s">
        <v>428</v>
      </c>
    </row>
    <row r="108" spans="1:7" x14ac:dyDescent="0.25">
      <c r="A108" s="19">
        <v>104</v>
      </c>
      <c r="B108" s="20" t="s">
        <v>263</v>
      </c>
      <c r="C108" t="s">
        <v>313</v>
      </c>
      <c r="D108" t="s">
        <v>317</v>
      </c>
      <c r="E108" s="11" t="s">
        <v>319</v>
      </c>
      <c r="F108" t="s">
        <v>349</v>
      </c>
      <c r="G108" t="s">
        <v>374</v>
      </c>
    </row>
    <row r="109" spans="1:7" x14ac:dyDescent="0.25">
      <c r="A109" s="19">
        <v>105</v>
      </c>
      <c r="B109" s="20" t="s">
        <v>307</v>
      </c>
      <c r="C109" t="s">
        <v>313</v>
      </c>
      <c r="D109" t="s">
        <v>315</v>
      </c>
      <c r="E109" s="11" t="s">
        <v>319</v>
      </c>
      <c r="F109" t="s">
        <v>350</v>
      </c>
      <c r="G109" t="s">
        <v>429</v>
      </c>
    </row>
    <row r="110" spans="1:7" x14ac:dyDescent="0.25">
      <c r="A110" s="19">
        <v>106</v>
      </c>
      <c r="B110" s="20" t="s">
        <v>265</v>
      </c>
      <c r="C110" t="s">
        <v>313</v>
      </c>
      <c r="D110" t="s">
        <v>317</v>
      </c>
      <c r="E110" s="11" t="s">
        <v>319</v>
      </c>
      <c r="F110" t="s">
        <v>351</v>
      </c>
      <c r="G110" t="s">
        <v>376</v>
      </c>
    </row>
    <row r="111" spans="1:7" x14ac:dyDescent="0.25">
      <c r="A111" s="19">
        <v>107</v>
      </c>
      <c r="B111" s="20" t="s">
        <v>308</v>
      </c>
      <c r="C111" t="s">
        <v>313</v>
      </c>
      <c r="D111" t="s">
        <v>315</v>
      </c>
      <c r="E111" s="11" t="s">
        <v>319</v>
      </c>
      <c r="F111" t="s">
        <v>352</v>
      </c>
      <c r="G111" t="s">
        <v>430</v>
      </c>
    </row>
    <row r="112" spans="1:7" x14ac:dyDescent="0.25">
      <c r="A112" s="19">
        <v>108</v>
      </c>
      <c r="E112" s="11"/>
    </row>
    <row r="113" spans="1:7" x14ac:dyDescent="0.25">
      <c r="A113" s="19">
        <v>109</v>
      </c>
      <c r="B113" s="20" t="s">
        <v>254</v>
      </c>
      <c r="C113" t="s">
        <v>313</v>
      </c>
      <c r="D113" t="s">
        <v>315</v>
      </c>
      <c r="E113" s="11" t="s">
        <v>319</v>
      </c>
      <c r="F113" t="s">
        <v>343</v>
      </c>
      <c r="G113" t="s">
        <v>365</v>
      </c>
    </row>
    <row r="114" spans="1:7" x14ac:dyDescent="0.25">
      <c r="A114" s="19">
        <v>110</v>
      </c>
      <c r="B114" s="20" t="s">
        <v>295</v>
      </c>
      <c r="C114" t="s">
        <v>313</v>
      </c>
      <c r="D114" t="s">
        <v>315</v>
      </c>
      <c r="E114" s="11" t="s">
        <v>319</v>
      </c>
      <c r="F114" t="s">
        <v>343</v>
      </c>
      <c r="G114" t="s">
        <v>431</v>
      </c>
    </row>
    <row r="115" spans="1:7" x14ac:dyDescent="0.25">
      <c r="A115" s="19"/>
      <c r="B115" s="20"/>
      <c r="E115" s="11"/>
    </row>
    <row r="116" spans="1:7" x14ac:dyDescent="0.25">
      <c r="A116" s="19">
        <v>112</v>
      </c>
      <c r="B116" s="20" t="s">
        <v>310</v>
      </c>
      <c r="C116" t="s">
        <v>313</v>
      </c>
      <c r="D116" t="s">
        <v>315</v>
      </c>
      <c r="E116" s="11" t="s">
        <v>319</v>
      </c>
      <c r="F116">
        <v>1</v>
      </c>
      <c r="G116" t="s">
        <v>433</v>
      </c>
    </row>
    <row r="117" spans="1:7" x14ac:dyDescent="0.25">
      <c r="A117" s="19">
        <v>113</v>
      </c>
      <c r="B117" s="20" t="s">
        <v>311</v>
      </c>
      <c r="C117" t="s">
        <v>313</v>
      </c>
      <c r="D117" t="s">
        <v>315</v>
      </c>
      <c r="E117" s="11" t="s">
        <v>319</v>
      </c>
      <c r="F117" t="s">
        <v>353</v>
      </c>
      <c r="G117" t="s">
        <v>434</v>
      </c>
    </row>
    <row r="118" spans="1:7" x14ac:dyDescent="0.25">
      <c r="A118" s="19">
        <v>114</v>
      </c>
      <c r="B118" s="20" t="s">
        <v>309</v>
      </c>
      <c r="C118" t="s">
        <v>313</v>
      </c>
      <c r="D118" t="s">
        <v>315</v>
      </c>
      <c r="E118" s="11" t="s">
        <v>319</v>
      </c>
      <c r="F118" t="s">
        <v>249</v>
      </c>
      <c r="G118" t="s">
        <v>432</v>
      </c>
    </row>
  </sheetData>
  <pageMargins left="0.7" right="0.7" top="0.78749999999999998" bottom="0.78749999999999998" header="0.51180555555555496" footer="0.51180555555555496"/>
  <pageSetup paperSize="9" firstPageNumber="0" orientation="portrait" horizontalDpi="4294967293" verticalDpi="36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FF"/>
  </sheetPr>
  <dimension ref="A1:DV492"/>
  <sheetViews>
    <sheetView zoomScale="75" zoomScaleNormal="75" workbookViewId="0">
      <pane xSplit="12" ySplit="1" topLeftCell="M2" activePane="bottomRight" state="frozen"/>
      <selection pane="topRight" activeCell="M1" sqref="M1"/>
      <selection pane="bottomLeft" activeCell="A2" sqref="A2"/>
      <selection pane="bottomRight" activeCell="P11" sqref="P11"/>
    </sheetView>
  </sheetViews>
  <sheetFormatPr defaultColWidth="9.140625" defaultRowHeight="15" x14ac:dyDescent="0.25"/>
  <cols>
    <col min="1" max="1" width="12.28515625" style="43" customWidth="1"/>
    <col min="2" max="2" width="5.7109375" style="43" customWidth="1"/>
    <col min="3" max="3" width="6.28515625" style="43" customWidth="1"/>
    <col min="4" max="4" width="5.28515625" style="47" customWidth="1"/>
    <col min="5" max="5" width="7.7109375" style="43" customWidth="1"/>
    <col min="6" max="6" width="5.85546875" style="43" customWidth="1"/>
    <col min="7" max="7" width="8.85546875" style="43" customWidth="1"/>
    <col min="8" max="8" width="8.28515625" style="43" customWidth="1"/>
    <col min="9" max="9" width="6.28515625" style="43" customWidth="1"/>
    <col min="10" max="10" width="5.85546875" style="43" customWidth="1"/>
    <col min="11" max="11" width="5.42578125" style="7" customWidth="1"/>
    <col min="12" max="12" width="14.5703125" style="61" customWidth="1"/>
    <col min="13" max="13" width="11.42578125" style="48"/>
    <col min="14" max="14" width="11.42578125" style="63"/>
    <col min="15" max="15" width="6.28515625" style="61" customWidth="1"/>
    <col min="16" max="16" width="11.42578125" style="7"/>
    <col min="17" max="17" width="7.5703125" style="7" customWidth="1"/>
    <col min="18" max="18" width="11.42578125" style="7"/>
    <col min="19" max="19" width="6.5703125" style="7" customWidth="1"/>
    <col min="20" max="23" width="11.42578125" style="7"/>
    <col min="24" max="25" width="18.85546875" style="7"/>
    <col min="26" max="27" width="11.42578125" style="7"/>
    <col min="28" max="28" width="11.42578125" style="43"/>
    <col min="29" max="29" width="15" style="43" customWidth="1"/>
    <col min="30" max="30" width="11.42578125" style="7"/>
    <col min="31" max="31" width="11.42578125" style="43"/>
    <col min="32" max="60" width="11.42578125" style="7"/>
    <col min="61" max="61" width="11.7109375"/>
    <col min="62" max="64" width="11.42578125"/>
    <col min="65" max="66" width="11.42578125" style="59"/>
    <col min="67" max="71" width="11.42578125" style="13"/>
    <col min="72" max="73" width="11.42578125" style="69"/>
    <col min="74" max="74" width="12.140625" style="17"/>
    <col min="75" max="75" width="12.85546875" style="17"/>
    <col min="76" max="76" width="3.7109375"/>
    <col min="77" max="114" width="11.42578125" style="20"/>
    <col min="115" max="992" width="11.42578125"/>
  </cols>
  <sheetData>
    <row r="1" spans="1:126" x14ac:dyDescent="0.25">
      <c r="A1" s="43" t="s">
        <v>3</v>
      </c>
      <c r="B1" s="43" t="s">
        <v>5</v>
      </c>
      <c r="C1" s="43" t="s">
        <v>6</v>
      </c>
      <c r="D1" s="54" t="s">
        <v>7</v>
      </c>
      <c r="E1" s="43" t="s">
        <v>235</v>
      </c>
      <c r="F1" s="43" t="s">
        <v>251</v>
      </c>
      <c r="G1" s="43" t="s">
        <v>252</v>
      </c>
      <c r="H1" s="43" t="s">
        <v>359</v>
      </c>
      <c r="I1" s="43" t="s">
        <v>247</v>
      </c>
      <c r="J1" s="43" t="s">
        <v>10</v>
      </c>
      <c r="K1" s="7" t="s">
        <v>29</v>
      </c>
      <c r="L1" s="61" t="s">
        <v>253</v>
      </c>
      <c r="M1" s="48" t="s">
        <v>11</v>
      </c>
      <c r="N1" s="63" t="s">
        <v>254</v>
      </c>
      <c r="O1" s="61" t="s">
        <v>326</v>
      </c>
      <c r="P1" s="7" t="s">
        <v>255</v>
      </c>
      <c r="Q1" s="7" t="s">
        <v>256</v>
      </c>
      <c r="R1" s="7" t="s">
        <v>257</v>
      </c>
      <c r="S1" s="7" t="s">
        <v>258</v>
      </c>
      <c r="T1" s="7" t="s">
        <v>259</v>
      </c>
      <c r="U1" s="7" t="s">
        <v>260</v>
      </c>
      <c r="V1" s="7" t="s">
        <v>261</v>
      </c>
      <c r="W1" s="7" t="s">
        <v>262</v>
      </c>
      <c r="X1" s="7" t="s">
        <v>263</v>
      </c>
      <c r="Y1" s="7" t="s">
        <v>264</v>
      </c>
      <c r="Z1" s="7" t="s">
        <v>265</v>
      </c>
      <c r="AA1" s="7" t="s">
        <v>266</v>
      </c>
      <c r="AB1" s="43" t="s">
        <v>267</v>
      </c>
      <c r="AC1" s="43" t="s">
        <v>268</v>
      </c>
      <c r="AD1" s="7" t="s">
        <v>269</v>
      </c>
      <c r="AE1" s="43" t="s">
        <v>270</v>
      </c>
      <c r="AF1" s="7" t="s">
        <v>271</v>
      </c>
      <c r="AG1" s="7" t="s">
        <v>272</v>
      </c>
      <c r="AH1" s="7" t="s">
        <v>273</v>
      </c>
      <c r="AI1" s="7" t="s">
        <v>274</v>
      </c>
      <c r="AJ1" s="7" t="s">
        <v>275</v>
      </c>
      <c r="AK1" s="7" t="s">
        <v>276</v>
      </c>
      <c r="AL1" s="7" t="s">
        <v>277</v>
      </c>
      <c r="AM1" s="7" t="s">
        <v>278</v>
      </c>
      <c r="AN1" s="7" t="s">
        <v>279</v>
      </c>
      <c r="AO1" s="7" t="s">
        <v>280</v>
      </c>
      <c r="AP1" s="7" t="s">
        <v>281</v>
      </c>
      <c r="AQ1" s="7" t="s">
        <v>282</v>
      </c>
      <c r="AR1" s="7" t="s">
        <v>283</v>
      </c>
      <c r="AS1" s="7" t="s">
        <v>284</v>
      </c>
      <c r="AT1" s="7" t="s">
        <v>285</v>
      </c>
      <c r="AU1" s="7" t="s">
        <v>286</v>
      </c>
      <c r="AV1" s="7" t="s">
        <v>287</v>
      </c>
      <c r="AW1" s="7" t="s">
        <v>288</v>
      </c>
      <c r="AX1" s="7" t="s">
        <v>289</v>
      </c>
      <c r="AY1" s="7" t="s">
        <v>290</v>
      </c>
      <c r="AZ1" s="7" t="s">
        <v>291</v>
      </c>
      <c r="BA1" s="7" t="s">
        <v>292</v>
      </c>
      <c r="BB1" s="7" t="s">
        <v>293</v>
      </c>
      <c r="BC1" s="7" t="s">
        <v>294</v>
      </c>
      <c r="BG1" s="7" t="s">
        <v>295</v>
      </c>
      <c r="BH1" s="7" t="s">
        <v>334</v>
      </c>
      <c r="BI1" s="10" t="s">
        <v>18</v>
      </c>
      <c r="BJ1" s="10" t="s">
        <v>20</v>
      </c>
      <c r="BK1" s="10" t="s">
        <v>322</v>
      </c>
      <c r="BL1" s="10" t="s">
        <v>323</v>
      </c>
      <c r="BM1" s="65" t="s">
        <v>324</v>
      </c>
      <c r="BN1" s="65" t="s">
        <v>325</v>
      </c>
      <c r="BO1" s="13" t="s">
        <v>22</v>
      </c>
      <c r="BP1" s="13" t="s">
        <v>296</v>
      </c>
      <c r="BQ1" s="13" t="s">
        <v>23</v>
      </c>
      <c r="BR1" s="13" t="s">
        <v>24</v>
      </c>
      <c r="BS1" s="13" t="s">
        <v>334</v>
      </c>
      <c r="BT1" s="67" t="s">
        <v>25</v>
      </c>
      <c r="BU1" s="67" t="s">
        <v>27</v>
      </c>
      <c r="BV1" s="17" t="s">
        <v>28</v>
      </c>
      <c r="BW1" s="17" t="s">
        <v>297</v>
      </c>
      <c r="BY1" s="20" t="s">
        <v>327</v>
      </c>
      <c r="BZ1" s="20" t="s">
        <v>298</v>
      </c>
      <c r="CA1" s="20" t="s">
        <v>299</v>
      </c>
      <c r="CB1" s="20" t="s">
        <v>269</v>
      </c>
      <c r="CC1" s="20" t="s">
        <v>328</v>
      </c>
      <c r="CD1" s="20" t="s">
        <v>278</v>
      </c>
      <c r="CE1" s="20" t="s">
        <v>279</v>
      </c>
      <c r="CF1" s="20" t="s">
        <v>271</v>
      </c>
      <c r="CG1" s="20" t="s">
        <v>329</v>
      </c>
      <c r="CH1" s="20" t="s">
        <v>281</v>
      </c>
      <c r="CI1" s="20" t="s">
        <v>300</v>
      </c>
      <c r="CJ1" s="20" t="s">
        <v>272</v>
      </c>
      <c r="CK1" s="20" t="s">
        <v>330</v>
      </c>
      <c r="CL1" s="20" t="s">
        <v>284</v>
      </c>
      <c r="CM1" s="20" t="s">
        <v>285</v>
      </c>
      <c r="CN1" s="20" t="s">
        <v>273</v>
      </c>
      <c r="CO1" s="20" t="s">
        <v>331</v>
      </c>
      <c r="CP1" s="20" t="s">
        <v>287</v>
      </c>
      <c r="CQ1" s="20" t="s">
        <v>288</v>
      </c>
      <c r="CR1" s="20" t="s">
        <v>332</v>
      </c>
      <c r="CS1" s="20" t="s">
        <v>301</v>
      </c>
      <c r="CT1" s="20" t="s">
        <v>302</v>
      </c>
      <c r="CU1" s="20" t="s">
        <v>303</v>
      </c>
      <c r="CV1" s="20" t="s">
        <v>333</v>
      </c>
      <c r="CW1" s="20" t="s">
        <v>304</v>
      </c>
      <c r="CX1" s="20" t="s">
        <v>305</v>
      </c>
      <c r="CY1" s="20" t="s">
        <v>306</v>
      </c>
      <c r="CZ1" s="20" t="s">
        <v>263</v>
      </c>
      <c r="DA1" s="20" t="s">
        <v>307</v>
      </c>
      <c r="DB1" s="20" t="s">
        <v>265</v>
      </c>
      <c r="DC1" s="20" t="s">
        <v>308</v>
      </c>
      <c r="DD1"/>
      <c r="DE1" s="20" t="s">
        <v>254</v>
      </c>
      <c r="DF1" s="20" t="s">
        <v>295</v>
      </c>
      <c r="DH1" s="20" t="s">
        <v>310</v>
      </c>
      <c r="DI1" s="20" t="s">
        <v>311</v>
      </c>
      <c r="DJ1" s="20" t="s">
        <v>309</v>
      </c>
      <c r="DK1" s="20"/>
      <c r="DL1" s="20"/>
      <c r="DM1" s="20"/>
      <c r="DN1" s="20"/>
      <c r="DO1" s="20"/>
      <c r="DP1" s="20"/>
      <c r="DQ1" s="20"/>
      <c r="DR1" s="20"/>
      <c r="DS1" s="20"/>
      <c r="DT1" s="20"/>
      <c r="DU1" s="20"/>
      <c r="DV1" s="20"/>
    </row>
    <row r="2" spans="1:126" s="29" customFormat="1" x14ac:dyDescent="0.25">
      <c r="A2" s="44" t="s">
        <v>33</v>
      </c>
      <c r="B2" s="45"/>
      <c r="C2" s="45"/>
      <c r="D2" s="46"/>
      <c r="E2" s="45"/>
      <c r="F2" s="45"/>
      <c r="G2" s="45"/>
      <c r="H2" s="45"/>
      <c r="I2" s="45"/>
      <c r="J2" s="45"/>
      <c r="K2" s="21"/>
      <c r="L2" s="62"/>
      <c r="M2" s="60"/>
      <c r="N2" s="64"/>
      <c r="O2" s="62"/>
      <c r="P2" s="21"/>
      <c r="Q2" s="21"/>
      <c r="R2" s="21"/>
      <c r="S2" s="21"/>
      <c r="T2" s="21"/>
      <c r="U2" s="21"/>
      <c r="V2" s="7"/>
      <c r="W2" s="7"/>
      <c r="X2" s="21"/>
      <c r="Y2" s="21"/>
      <c r="Z2" s="21"/>
      <c r="AA2" s="21"/>
      <c r="AB2" s="45"/>
      <c r="AC2" s="45"/>
      <c r="AD2" s="21"/>
      <c r="AE2" s="45" t="s">
        <v>34</v>
      </c>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2" t="e">
        <f t="shared" ref="BI2:BI12" si="0">E2*(IF(0&lt;BO2-BP2-BQ2-BR2,BO2-BP2-BQ2-BR2,0)-BS2)</f>
        <v>#DIV/0!</v>
      </c>
      <c r="BJ2" s="22" t="e">
        <f t="shared" ref="BJ2:BJ12" si="1">IF((BV2+BW2)*E2&lt;BT2+BU2,(BV2+BW2)*E2,BT2+BU2)</f>
        <v>#VALUE!</v>
      </c>
      <c r="BK2" s="22" t="e">
        <f t="shared" ref="BK2:BK12" si="2">BJ2-BI2</f>
        <v>#VALUE!</v>
      </c>
      <c r="BL2" s="22" t="e">
        <f t="shared" ref="BL2:BL12" si="3">BK2/E2</f>
        <v>#VALUE!</v>
      </c>
      <c r="BM2" s="66" t="e">
        <f t="shared" ref="BM2:BN5" si="4">IF($J3=$J2,BK3+BK2,IF($J1=$J2,"",BK2))</f>
        <v>#VALUE!</v>
      </c>
      <c r="BN2" s="66" t="e">
        <f t="shared" si="4"/>
        <v>#VALUE!</v>
      </c>
      <c r="BO2" s="23">
        <f t="shared" ref="BO2:BO12" si="5">1000*(AB2*BY2*CA2+CB2*CC2*CE2+CF2*CG2*CI2+CJ2*CK2*CM2+CN2*CO2*CQ2)</f>
        <v>0</v>
      </c>
      <c r="BP2" s="23" t="e">
        <f t="shared" ref="BP2:BP12" si="6">IF(0&lt;BO2*DE2*DF2-BQ2-BR2,BO2*DE2*DF2-BQ2-BR2,0)</f>
        <v>#DIV/0!</v>
      </c>
      <c r="BQ2" s="23">
        <f>IF(BO2*DJ2&gt;CU2+CY2+DA2+DC2+O2,CU2+CY2+DA2+DC2+O2,BO2*DJ2)</f>
        <v>0</v>
      </c>
      <c r="BR2" s="24" t="e">
        <f t="shared" ref="BR2:BR12" si="7">I2*DI2</f>
        <v>#DIV/0!</v>
      </c>
      <c r="BS2" s="24" t="e">
        <f t="shared" ref="BS2:BS12" si="8">DG2*(1-DI2)</f>
        <v>#DIV/0!</v>
      </c>
      <c r="BT2" s="68">
        <f t="shared" ref="BT2:BT12" si="9">1000*(CF2*CG2*CH2+CJ2*CK2*CL2+CN2*CO2*CP2)</f>
        <v>0</v>
      </c>
      <c r="BU2" s="68" t="e">
        <f t="shared" ref="BU2:BU12" si="10">1000*(R2*CR2*CS2+V2*CV2*CW2+CZ2*BY1*BZ1+DB2*CC1*CD1)</f>
        <v>#VALUE!</v>
      </c>
      <c r="BV2" s="25">
        <f t="shared" ref="BV2:BV12" si="11">1000*(CF2*CG2*CI2+CJ2*CK2*CM2+CN2*CO2*CQ2)</f>
        <v>0</v>
      </c>
      <c r="BW2" s="26">
        <f t="shared" ref="BW2:BW12" si="12">1000*(IF(R2=0,0,R2*CR2*CT2*(1-1.6674*POWER(CS2/CT2,-0.768)))+IF(V2=0,0,V2*CV2*CX2*(1-1.6674*POWER(CW2/CX2,-0.768)))+IF(CZ2=0,0,CZ2*BY1*CA1*(1-1.6674*POWER(BZ2/CA2,-0.768)))+IF(DB2=0,0,DB2*CC1*CE1*(1-1.6674*POWER(CD1/CE1,-0.768))))</f>
        <v>0</v>
      </c>
      <c r="BX2" s="27"/>
      <c r="BY2" s="28">
        <f>IF(AI2="",VLOOKUP($M2,'HU-MOD-2-Parameters_CROP'!$A$4:$AE$151,5,),AI2)</f>
        <v>0</v>
      </c>
      <c r="BZ2" s="28">
        <f>IF(AJ2="",VLOOKUP($M2,'HU-MOD-2-Parameters_CROP'!$A$4:$AE$151,6,),AJ2)</f>
        <v>0</v>
      </c>
      <c r="CA2" s="28">
        <f>IF(AK2="",VLOOKUP($M2,'HU-MOD-2-Parameters_CROP'!$A$4:$AE$151,7,),AK2)</f>
        <v>0</v>
      </c>
      <c r="CB2" s="28">
        <f>IF(AD2="",$AB2*VLOOKUP($M2,'HU-MOD-2-Parameters_CROP'!$A$4:$AE$201,8,),AD2)</f>
        <v>0</v>
      </c>
      <c r="CC2" s="28">
        <f>IF(AL2="",VLOOKUP($M2,'HU-MOD-2-Parameters_CROP'!$A$4:$AE$151,9,),AL2)</f>
        <v>0</v>
      </c>
      <c r="CD2" s="28">
        <f>IF(AM2="",VLOOKUP($M2,'HU-MOD-2-Parameters_CROP'!$A$4:$AE$151,10,),AM2)</f>
        <v>0</v>
      </c>
      <c r="CE2" s="28">
        <f>IF(AN2="",VLOOKUP($M2,'HU-MOD-2-Parameters_CROP'!$A$4:$AE$151,11,),AN2)</f>
        <v>0</v>
      </c>
      <c r="CF2" s="28">
        <f>IF(AF2="",$AB2*VLOOKUP($M2,'HU-MOD-2-Parameters_CROP'!$A$4:$AE$201,12,),AF2)</f>
        <v>0</v>
      </c>
      <c r="CG2" s="28">
        <f>IF(AO2="",VLOOKUP($M2,'HU-MOD-2-Parameters_CROP'!$A$4:$AE$151,13,),AO2)</f>
        <v>0</v>
      </c>
      <c r="CH2" s="28">
        <f>IF(AP2="",VLOOKUP($M2,'HU-MOD-2-Parameters_CROP'!$A$4:$AE$151,14,),AP2)</f>
        <v>0</v>
      </c>
      <c r="CI2" s="28">
        <f>IF(AQ2="",VLOOKUP($M2,'HU-MOD-2-Parameters_CROP'!$A$4:$AE$151,15,),AQ2)</f>
        <v>0</v>
      </c>
      <c r="CJ2" s="28">
        <f>IF(AG2="",$AB2*VLOOKUP($M2,'HU-MOD-2-Parameters_CROP'!$A$4:$AE$201,16,),AG2)</f>
        <v>0</v>
      </c>
      <c r="CK2" s="28">
        <f>IF(AR2="",VLOOKUP($M2,'HU-MOD-2-Parameters_CROP'!$A$4:$AE$151,17,),AR2)</f>
        <v>0</v>
      </c>
      <c r="CL2" s="28">
        <f>IF(AS2="",VLOOKUP($M2,'HU-MOD-2-Parameters_CROP'!$A$4:$AE$151,18,),AS2)</f>
        <v>0</v>
      </c>
      <c r="CM2" s="28">
        <f>IF(AT2="",VLOOKUP($M2,'HU-MOD-2-Parameters_CROP'!$A$4:$AE$151,19,),AT2)</f>
        <v>0</v>
      </c>
      <c r="CN2" s="28">
        <f>IF(AH2="",$AB2*BY2*VLOOKUP($M2,'HU-MOD-2-Parameters_CROP'!$A$4:$AE$201,20,),AH2)</f>
        <v>0</v>
      </c>
      <c r="CO2" s="28">
        <f>IF(AU2="",VLOOKUP($M2,'HU-MOD-2-Parameters_CROP'!$A$4:$AE$151,21,),AU2)</f>
        <v>0</v>
      </c>
      <c r="CP2" s="28">
        <f>IF(AV2="",VLOOKUP($M2,'HU-MOD-2-Parameters_CROP'!$A$4:$AE$151,22,),AV2)</f>
        <v>0</v>
      </c>
      <c r="CQ2" s="28">
        <f>IF(AW2="",VLOOKUP($M2,'HU-MOD-2-Parameters_CROP'!$A$4:$AE$151,23,),AW2)</f>
        <v>0</v>
      </c>
      <c r="CR2" s="28">
        <f>IF(AX2="",VLOOKUP($Q2,'HU-MOD-2-Parameters_FTLZ'!$A$4:$I$109,5,),AX2)</f>
        <v>0</v>
      </c>
      <c r="CS2" s="28">
        <f>IF(AY2="",VLOOKUP($Q2,'HU-MOD-2-Parameters_FTLZ'!$A$4:$I$109,6,),AY2)</f>
        <v>0</v>
      </c>
      <c r="CT2" s="28">
        <f>IF(AZ2="",VLOOKUP($Q2,'HU-MOD-2-Parameters_FTLZ'!$A$4:$I$109,7,),AZ2)</f>
        <v>0</v>
      </c>
      <c r="CU2" s="28">
        <f t="shared" ref="CU2:CU12" si="13">IF(CR2=0,0,IF(S2=1,1000*R2*CR2*CT2*(1.6674*POWER(CS2/CT2,-0.768))*DI2,1000*R2*CR2*CT2*(1.6674*POWER(CS2/CT2,-0.768))*DH2))</f>
        <v>0</v>
      </c>
      <c r="CV2" s="28">
        <f>IF(BA2="",VLOOKUP($U2,'HU-MOD-2-Parameters_FTLZ'!$A$4:$I$109,5,),BA2)</f>
        <v>0</v>
      </c>
      <c r="CW2" s="28">
        <f>IF(BB2="",VLOOKUP($U2,'HU-MOD-2-Parameters_FTLZ'!$A$4:$I$109,6,),BB2)</f>
        <v>0</v>
      </c>
      <c r="CX2" s="28">
        <f>IF(BC2="",VLOOKUP($U2,'HU-MOD-2-Parameters_FTLZ'!$A$4:$I$109,7,),BC2)</f>
        <v>0</v>
      </c>
      <c r="CY2" s="28">
        <f>IF(CV2=0,0,IF(W2=1,1000*V2*CV2*CX2*(1.6674*POWER(CW2/CX2,-0.768))*DM2,1000*V2*CV2*CX2*(1.6674*POWER(CW2/CX2,-0.768))*DL2))</f>
        <v>0</v>
      </c>
      <c r="CZ2" s="28">
        <f t="shared" ref="CZ2:CZ12" si="14">IF(X2="",IF(AC1="Y",AB1,0),X2)</f>
        <v>0</v>
      </c>
      <c r="DA2" s="28">
        <f t="shared" ref="DA2:DA12" si="15">IF(AC1="Y",IF(Y2=1,1000*CZ2*BY1*CA1*1.6674*POWER(BZ1/CA1,-0.768)*DI2,1000*CZ2*BY1*CA1*1.6674*POWER(BZ1/CA1,-0.768)*DH2),0)</f>
        <v>0</v>
      </c>
      <c r="DB2" s="28">
        <f t="shared" ref="DB2:DB12" si="16">IF(Z2="",IF(AE1="Y",CB1,0),Z2)</f>
        <v>0</v>
      </c>
      <c r="DC2" s="28">
        <f t="shared" ref="DC2:DC12" si="17">IF(AE1="Y",IF(AB2=1,1000*DB2*CC1*CE1*1.6674*POWER(CD1/CE1,-0.768)*DI2,1000*DB2*CC1*CE1*1.6674*POWER(CD1/CE1,-0.768)*DH2),0)</f>
        <v>0</v>
      </c>
      <c r="DD2" s="28"/>
      <c r="DE2" s="28">
        <f>IF(N2="",VLOOKUP(M2,'HU-MOD-2-Parameters_CROP'!$A$4:$AE$151,24,),N2)</f>
        <v>0</v>
      </c>
      <c r="DF2" s="28">
        <f>IF(BG2="",VLOOKUP(M2,'HU-MOD-2-Parameters_CROP'!$A$4:$AE$151,25,),BG2)</f>
        <v>0</v>
      </c>
      <c r="DG2" s="28">
        <f>IF(BH2="",VLOOKUP(M2,'HU-MOD-2-Parameters_CROP'!$A$4:$AE$151,26,),BH2)</f>
        <v>0</v>
      </c>
      <c r="DH2" s="28">
        <v>1</v>
      </c>
      <c r="DI2" s="28" t="e">
        <f t="shared" ref="DI2:DI12" si="18">1-POWER(((G2/10*H2)/(G2/10*H2+F2)),0.5*90)</f>
        <v>#DIV/0!</v>
      </c>
      <c r="DJ2" s="28">
        <v>0.6</v>
      </c>
      <c r="DS2" s="22"/>
      <c r="DT2" s="22"/>
      <c r="DU2" s="22"/>
      <c r="DV2" s="22"/>
    </row>
    <row r="3" spans="1:126" x14ac:dyDescent="0.25">
      <c r="A3" s="43" t="s">
        <v>224</v>
      </c>
      <c r="B3" s="43" t="s">
        <v>225</v>
      </c>
      <c r="E3" s="43">
        <v>10</v>
      </c>
      <c r="F3" s="49">
        <v>0.4</v>
      </c>
      <c r="G3" s="49">
        <v>650</v>
      </c>
      <c r="H3" s="49">
        <v>0.5</v>
      </c>
      <c r="I3" s="50">
        <v>20</v>
      </c>
      <c r="J3" s="49">
        <v>1</v>
      </c>
      <c r="K3" s="49"/>
      <c r="L3" s="61" t="s">
        <v>226</v>
      </c>
      <c r="M3" s="48">
        <v>1050</v>
      </c>
      <c r="N3" s="63">
        <v>0.9</v>
      </c>
      <c r="O3" s="61">
        <v>0</v>
      </c>
      <c r="P3" s="50"/>
      <c r="Q3" s="50"/>
      <c r="R3" s="50"/>
      <c r="S3" s="50"/>
      <c r="T3" s="50"/>
      <c r="U3" s="50"/>
      <c r="V3" s="50"/>
      <c r="W3" s="50"/>
      <c r="X3" s="49"/>
      <c r="Y3" s="49"/>
      <c r="Z3" s="49"/>
      <c r="AA3" s="49"/>
      <c r="AB3" s="43">
        <v>60</v>
      </c>
      <c r="AC3" s="49" t="s">
        <v>34</v>
      </c>
      <c r="AE3" s="49" t="s">
        <v>34</v>
      </c>
      <c r="BH3" s="50"/>
      <c r="BI3" s="22">
        <f t="shared" si="0"/>
        <v>1381.8000000000004</v>
      </c>
      <c r="BJ3" s="22">
        <f t="shared" si="1"/>
        <v>2448</v>
      </c>
      <c r="BK3" s="22">
        <f t="shared" si="2"/>
        <v>1066.1999999999996</v>
      </c>
      <c r="BL3" s="22">
        <f t="shared" si="3"/>
        <v>106.61999999999996</v>
      </c>
      <c r="BM3" s="66">
        <f t="shared" si="4"/>
        <v>1066.1999999999996</v>
      </c>
      <c r="BN3" s="66">
        <f t="shared" si="4"/>
        <v>106.61999999999996</v>
      </c>
      <c r="BO3" s="23">
        <f t="shared" si="5"/>
        <v>588.00000000000011</v>
      </c>
      <c r="BP3" s="23">
        <f t="shared" si="6"/>
        <v>441.35362513675767</v>
      </c>
      <c r="BQ3" s="23">
        <f>IF(BO3*DJ3&gt;CU3+CY3+DA3+DC3+O3,CU3+CY3+DA3+DC3+O3,BO3*DJ3)</f>
        <v>0</v>
      </c>
      <c r="BR3" s="24">
        <f t="shared" si="7"/>
        <v>8.4663748632424181</v>
      </c>
      <c r="BS3" s="52">
        <f t="shared" si="8"/>
        <v>0</v>
      </c>
      <c r="BT3" s="68">
        <f t="shared" si="9"/>
        <v>4800.0000000000009</v>
      </c>
      <c r="BU3" s="68">
        <f t="shared" si="10"/>
        <v>0</v>
      </c>
      <c r="BV3" s="25">
        <f t="shared" si="11"/>
        <v>244.8</v>
      </c>
      <c r="BW3" s="26">
        <f t="shared" si="12"/>
        <v>0</v>
      </c>
      <c r="BX3" s="27"/>
      <c r="BY3" s="28">
        <f>IF(AI3="",VLOOKUP($M3,'HU-MOD-2-Parameters_CROP'!$A$4:$AE$151,5,),AI3)</f>
        <v>0.2</v>
      </c>
      <c r="BZ3" s="28">
        <f>IF(AJ3="",VLOOKUP($M3,'HU-MOD-2-Parameters_CROP'!$A$4:$AE$151,6,),AJ3)</f>
        <v>0.46</v>
      </c>
      <c r="CA3" s="28">
        <f>IF(AK3="",VLOOKUP($M3,'HU-MOD-2-Parameters_CROP'!$A$4:$AE$151,7,),AK3)</f>
        <v>2.86E-2</v>
      </c>
      <c r="CB3" s="28">
        <f>IF(AD3="",$AB3*VLOOKUP($M3,'HU-MOD-2-Parameters_CROP'!$A$4:$AE$201,8,),AD3)</f>
        <v>0</v>
      </c>
      <c r="CC3" s="28">
        <f>IF(AL3="",VLOOKUP($M3,'HU-MOD-2-Parameters_CROP'!$A$4:$AE$151,9,),AL3)</f>
        <v>0</v>
      </c>
      <c r="CD3" s="28">
        <f>IF(AM3="",VLOOKUP($M3,'HU-MOD-2-Parameters_CROP'!$A$4:$AE$151,10,),AM3)</f>
        <v>0.46</v>
      </c>
      <c r="CE3" s="28">
        <f>IF(AN3="",VLOOKUP($M3,'HU-MOD-2-Parameters_CROP'!$A$4:$AE$151,11,),AN3)</f>
        <v>2.86E-2</v>
      </c>
      <c r="CF3" s="28">
        <f>IF(AF3="",$AB3*VLOOKUP($M3,'HU-MOD-2-Parameters_CROP'!$A$4:$AE$201,12,),AF3)</f>
        <v>0</v>
      </c>
      <c r="CG3" s="28">
        <f>IF(AO3="",VLOOKUP($M3,'HU-MOD-2-Parameters_CROP'!$A$4:$AE$151,13,),AO3)</f>
        <v>0</v>
      </c>
      <c r="CH3" s="28">
        <f>IF(AP3="",VLOOKUP($M3,'HU-MOD-2-Parameters_CROP'!$A$4:$AE$151,14,),AP3)</f>
        <v>0</v>
      </c>
      <c r="CI3" s="28">
        <f>IF(AQ3="",VLOOKUP($M3,'HU-MOD-2-Parameters_CROP'!$A$4:$AE$151,15,),AQ3)</f>
        <v>0</v>
      </c>
      <c r="CJ3" s="28">
        <f>IF(AG3="",$AB3*VLOOKUP($M3,'HU-MOD-2-Parameters_CROP'!$A$4:$AE$201,16,),AG3)</f>
        <v>12</v>
      </c>
      <c r="CK3" s="28">
        <f>IF(AR3="",VLOOKUP($M3,'HU-MOD-2-Parameters_CROP'!$A$4:$AE$151,17,),AR3)</f>
        <v>0</v>
      </c>
      <c r="CL3" s="28">
        <f>IF(AS3="",VLOOKUP($M3,'HU-MOD-2-Parameters_CROP'!$A$4:$AE$151,18,),AS3)</f>
        <v>0.46</v>
      </c>
      <c r="CM3" s="28">
        <f>IF(AT3="",VLOOKUP($M3,'HU-MOD-2-Parameters_CROP'!$A$4:$AE$151,19,),AT3)</f>
        <v>2.86E-2</v>
      </c>
      <c r="CN3" s="28">
        <f>IF(AH3="",$AB3*BY3*VLOOKUP($M3,'HU-MOD-2-Parameters_CROP'!$A$4:$AE$201,20,),AH3)</f>
        <v>12</v>
      </c>
      <c r="CO3" s="28">
        <f>IF(AU3="",VLOOKUP($M3,'HU-MOD-2-Parameters_CROP'!$A$4:$AE$151,21,),AU3)</f>
        <v>1</v>
      </c>
      <c r="CP3" s="28">
        <f>IF(AV3="",VLOOKUP($M3,'HU-MOD-2-Parameters_CROP'!$A$4:$AE$151,22,),AV3)</f>
        <v>0.4</v>
      </c>
      <c r="CQ3" s="28">
        <f>IF(AW3="",VLOOKUP($M3,'HU-MOD-2-Parameters_CROP'!$A$4:$AE$151,23,),AW3)</f>
        <v>2.0400000000000001E-2</v>
      </c>
      <c r="CR3" s="28">
        <f>IF(AX3="",VLOOKUP($Q3,'HU-MOD-2-Parameters_FTLZ'!$A$4:$I$109,5,),AX3)</f>
        <v>0</v>
      </c>
      <c r="CS3" s="28">
        <f>IF(AY3="",VLOOKUP($Q3,'HU-MOD-2-Parameters_FTLZ'!$A$4:$I$109,6,),AY3)</f>
        <v>0</v>
      </c>
      <c r="CT3" s="28">
        <f>IF(AZ3="",VLOOKUP($Q3,'HU-MOD-2-Parameters_FTLZ'!$A$4:$I$109,7,),AZ3)</f>
        <v>0</v>
      </c>
      <c r="CU3" s="28">
        <f t="shared" si="13"/>
        <v>0</v>
      </c>
      <c r="CV3" s="28">
        <f>IF(BA3="",VLOOKUP($U3,'HU-MOD-2-Parameters_FTLZ'!$A$4:$I$109,5,),BA3)</f>
        <v>0</v>
      </c>
      <c r="CW3" s="28">
        <f>IF(BB3="",VLOOKUP($U3,'HU-MOD-2-Parameters_FTLZ'!$A$4:$I$109,6,),BB3)</f>
        <v>0</v>
      </c>
      <c r="CX3" s="28">
        <f>IF(BC3="",VLOOKUP($U3,'HU-MOD-2-Parameters_FTLZ'!$A$4:$I$109,7,),BC3)</f>
        <v>0</v>
      </c>
      <c r="CY3" s="28">
        <f>IF(CV3=0,0,IF(W3=1,1000*V3*CV3*CX3*(1.6674*POWER(CW3/CX3,-0.768))*DM3,1000*V3*CV3*CX3*(1.6674*POWER(CW3/CX3,-0.768))*DL3))</f>
        <v>0</v>
      </c>
      <c r="CZ3" s="51">
        <f t="shared" si="14"/>
        <v>0</v>
      </c>
      <c r="DA3" s="51">
        <f t="shared" si="15"/>
        <v>0</v>
      </c>
      <c r="DB3" s="51">
        <f t="shared" si="16"/>
        <v>0</v>
      </c>
      <c r="DC3" s="51">
        <f t="shared" si="17"/>
        <v>0</v>
      </c>
      <c r="DD3" s="28"/>
      <c r="DE3" s="28">
        <f>IF(N3="",VLOOKUP(M3,'HU-MOD-2-Parameters_CROP'!$A$4:$AE$151,24,),N3)</f>
        <v>0.9</v>
      </c>
      <c r="DF3" s="28">
        <f>IF(BG3="",VLOOKUP(M3,'HU-MOD-2-Parameters_CROP'!$A$4:$AE$151,25,),BG3)</f>
        <v>0.85</v>
      </c>
      <c r="DG3" s="28">
        <f>IF(BH3="",VLOOKUP(M3,'HU-MOD-2-Parameters_CROP'!$A$4:$AE$151,26,),BH3)</f>
        <v>0</v>
      </c>
      <c r="DH3" s="52">
        <v>1</v>
      </c>
      <c r="DI3" s="52">
        <f t="shared" si="18"/>
        <v>0.42331874316212093</v>
      </c>
      <c r="DJ3" s="53">
        <v>0.6</v>
      </c>
      <c r="DK3" s="29"/>
      <c r="DL3" s="29"/>
      <c r="DM3" s="29"/>
      <c r="DN3" s="29"/>
      <c r="DO3" s="29"/>
      <c r="DP3" s="29"/>
      <c r="DQ3" s="29"/>
      <c r="DR3" s="29"/>
      <c r="DS3" s="22"/>
      <c r="DT3" s="22"/>
      <c r="DU3" s="22"/>
      <c r="DV3" s="22"/>
    </row>
    <row r="4" spans="1:126" x14ac:dyDescent="0.25">
      <c r="BI4" s="22" t="e">
        <f t="shared" si="0"/>
        <v>#DIV/0!</v>
      </c>
      <c r="BJ4" s="22">
        <f t="shared" si="1"/>
        <v>0</v>
      </c>
      <c r="BK4" s="22" t="e">
        <f t="shared" si="2"/>
        <v>#DIV/0!</v>
      </c>
      <c r="BL4" s="22" t="e">
        <f t="shared" si="3"/>
        <v>#DIV/0!</v>
      </c>
      <c r="BM4" s="66" t="e">
        <f t="shared" si="4"/>
        <v>#DIV/0!</v>
      </c>
      <c r="BN4" s="66" t="e">
        <f t="shared" si="4"/>
        <v>#DIV/0!</v>
      </c>
      <c r="BO4" s="23">
        <f t="shared" si="5"/>
        <v>0</v>
      </c>
      <c r="BP4" s="23" t="e">
        <f t="shared" si="6"/>
        <v>#DIV/0!</v>
      </c>
      <c r="BQ4" s="23">
        <f>IF(BO4*DJ4&gt;CU4+CY4+DA4+DC4+O4,CU4+CY4+DA4+DC4+O4,BO4*DJ4)</f>
        <v>0</v>
      </c>
      <c r="BR4" s="24" t="e">
        <f t="shared" si="7"/>
        <v>#DIV/0!</v>
      </c>
      <c r="BS4" s="24" t="e">
        <f t="shared" si="8"/>
        <v>#DIV/0!</v>
      </c>
      <c r="BT4" s="68">
        <f t="shared" si="9"/>
        <v>0</v>
      </c>
      <c r="BU4" s="68">
        <f t="shared" si="10"/>
        <v>0</v>
      </c>
      <c r="BV4" s="25">
        <f t="shared" si="11"/>
        <v>0</v>
      </c>
      <c r="BW4" s="26">
        <f t="shared" si="12"/>
        <v>0</v>
      </c>
      <c r="BX4" s="27"/>
      <c r="BY4" s="28">
        <f>IF(AI4="",VLOOKUP($M4,'HU-MOD-2-Parameters_CROP'!$A$4:$AE$151,5,),AI4)</f>
        <v>0</v>
      </c>
      <c r="BZ4" s="28">
        <f>IF(AJ4="",VLOOKUP($M4,'HU-MOD-2-Parameters_CROP'!$A$4:$AE$151,6,),AJ4)</f>
        <v>0</v>
      </c>
      <c r="CA4" s="28">
        <f>IF(AK4="",VLOOKUP($M4,'HU-MOD-2-Parameters_CROP'!$A$4:$AE$151,7,),AK4)</f>
        <v>0</v>
      </c>
      <c r="CB4" s="28">
        <f>IF(AD4="",$AB4*VLOOKUP($M4,'HU-MOD-2-Parameters_CROP'!$A$4:$AE$201,8,),AD4)</f>
        <v>0</v>
      </c>
      <c r="CC4" s="28">
        <f>IF(AL4="",VLOOKUP($M4,'HU-MOD-2-Parameters_CROP'!$A$4:$AE$151,9,),AL4)</f>
        <v>0</v>
      </c>
      <c r="CD4" s="28">
        <f>IF(AM4="",VLOOKUP($M4,'HU-MOD-2-Parameters_CROP'!$A$4:$AE$151,10,),AM4)</f>
        <v>0</v>
      </c>
      <c r="CE4" s="28">
        <f>IF(AN4="",VLOOKUP($M4,'HU-MOD-2-Parameters_CROP'!$A$4:$AE$151,11,),AN4)</f>
        <v>0</v>
      </c>
      <c r="CF4" s="28">
        <f>IF(AF4="",$AB4*VLOOKUP($M4,'HU-MOD-2-Parameters_CROP'!$A$4:$AE$201,12,),AF4)</f>
        <v>0</v>
      </c>
      <c r="CG4" s="28">
        <f>IF(AO4="",VLOOKUP($M4,'HU-MOD-2-Parameters_CROP'!$A$4:$AE$151,13,),AO4)</f>
        <v>0</v>
      </c>
      <c r="CH4" s="28">
        <f>IF(AP4="",VLOOKUP($M4,'HU-MOD-2-Parameters_CROP'!$A$4:$AE$151,14,),AP4)</f>
        <v>0</v>
      </c>
      <c r="CI4" s="28">
        <f>IF(AQ4="",VLOOKUP($M4,'HU-MOD-2-Parameters_CROP'!$A$4:$AE$151,15,),AQ4)</f>
        <v>0</v>
      </c>
      <c r="CJ4" s="28">
        <f>IF(AG4="",$AB4*VLOOKUP($M4,'HU-MOD-2-Parameters_CROP'!$A$4:$AE$201,16,),AG4)</f>
        <v>0</v>
      </c>
      <c r="CK4" s="28">
        <f>IF(AR4="",VLOOKUP($M4,'HU-MOD-2-Parameters_CROP'!$A$4:$AE$151,17,),AR4)</f>
        <v>0</v>
      </c>
      <c r="CL4" s="28">
        <f>IF(AS4="",VLOOKUP($M4,'HU-MOD-2-Parameters_CROP'!$A$4:$AE$151,18,),AS4)</f>
        <v>0</v>
      </c>
      <c r="CM4" s="28">
        <f>IF(AT4="",VLOOKUP($M4,'HU-MOD-2-Parameters_CROP'!$A$4:$AE$151,19,),AT4)</f>
        <v>0</v>
      </c>
      <c r="CN4" s="28">
        <f>IF(AH4="",$AB4*BY4*VLOOKUP($M4,'HU-MOD-2-Parameters_CROP'!$A$4:$AE$201,20,),AH4)</f>
        <v>0</v>
      </c>
      <c r="CO4" s="28">
        <f>IF(AU4="",VLOOKUP($M4,'HU-MOD-2-Parameters_CROP'!$A$4:$AE$151,21,),AU4)</f>
        <v>0</v>
      </c>
      <c r="CP4" s="28">
        <f>IF(AV4="",VLOOKUP($M4,'HU-MOD-2-Parameters_CROP'!$A$4:$AE$151,22,),AV4)</f>
        <v>0</v>
      </c>
      <c r="CQ4" s="28">
        <f>IF(AW4="",VLOOKUP($M4,'HU-MOD-2-Parameters_CROP'!$A$4:$AE$151,23,),AW4)</f>
        <v>0</v>
      </c>
      <c r="CR4" s="28">
        <f>IF(AX4="",VLOOKUP($Q4,'HU-MOD-2-Parameters_FTLZ'!$A$4:$I$109,5,),AX4)</f>
        <v>0</v>
      </c>
      <c r="CS4" s="28">
        <f>IF(AY4="",VLOOKUP($Q4,'HU-MOD-2-Parameters_FTLZ'!$A$4:$I$109,6,),AY4)</f>
        <v>0</v>
      </c>
      <c r="CT4" s="28">
        <f>IF(AZ4="",VLOOKUP($Q4,'HU-MOD-2-Parameters_FTLZ'!$A$4:$I$109,7,),AZ4)</f>
        <v>0</v>
      </c>
      <c r="CU4" s="28">
        <f t="shared" si="13"/>
        <v>0</v>
      </c>
      <c r="CV4" s="28">
        <f>IF(BA4="",VLOOKUP($U4,'HU-MOD-2-Parameters_FTLZ'!$A$4:$I$109,5,),BA4)</f>
        <v>0</v>
      </c>
      <c r="CW4" s="28">
        <f>IF(BB4="",VLOOKUP($U4,'HU-MOD-2-Parameters_FTLZ'!$A$4:$I$109,6,),BB4)</f>
        <v>0</v>
      </c>
      <c r="CX4" s="28">
        <f>IF(BC4="",VLOOKUP($U4,'HU-MOD-2-Parameters_FTLZ'!$A$4:$I$109,7,),BC4)</f>
        <v>0</v>
      </c>
      <c r="CY4" s="28">
        <f>IF(CV4=0,0,IF(W4=1,1000*V4*CV4*CX4*(1.6674*POWER(CW4/CX4,-0.768))*DM4,1000*V4*CV4*CX4*(1.6674*POWER(CW4/CX4,-0.768))*DL4))</f>
        <v>0</v>
      </c>
      <c r="CZ4" s="28">
        <f t="shared" si="14"/>
        <v>0</v>
      </c>
      <c r="DA4" s="28">
        <f t="shared" si="15"/>
        <v>0</v>
      </c>
      <c r="DB4" s="28">
        <f t="shared" si="16"/>
        <v>0</v>
      </c>
      <c r="DC4" s="28">
        <f t="shared" si="17"/>
        <v>0</v>
      </c>
      <c r="DD4" s="28"/>
      <c r="DE4" s="28">
        <f>IF(N4="",VLOOKUP(M4,'HU-MOD-2-Parameters_CROP'!$A$4:$AE$151,24,),N4)</f>
        <v>0</v>
      </c>
      <c r="DF4" s="28">
        <f>IF(BG4="",VLOOKUP(M4,'HU-MOD-2-Parameters_CROP'!$A$4:$AE$151,25,),BG4)</f>
        <v>0</v>
      </c>
      <c r="DG4" s="28">
        <f>IF(BH4="",VLOOKUP(M4,'HU-MOD-2-Parameters_CROP'!$A$4:$AE$151,26,),BH4)</f>
        <v>0</v>
      </c>
      <c r="DH4" s="28">
        <v>1</v>
      </c>
      <c r="DI4" s="28" t="e">
        <f t="shared" si="18"/>
        <v>#DIV/0!</v>
      </c>
      <c r="DJ4" s="28">
        <v>0.6</v>
      </c>
      <c r="DK4" s="29"/>
      <c r="DL4" s="29"/>
      <c r="DM4" s="29"/>
      <c r="DN4" s="29"/>
      <c r="DO4" s="29"/>
      <c r="DP4" s="29"/>
      <c r="DQ4" s="29"/>
      <c r="DR4" s="29"/>
      <c r="DS4" s="22"/>
      <c r="DT4" s="22"/>
      <c r="DU4" s="22"/>
      <c r="DV4" s="22"/>
    </row>
    <row r="5" spans="1:126" x14ac:dyDescent="0.25">
      <c r="A5" s="43" t="s">
        <v>444</v>
      </c>
      <c r="B5" s="43" t="s">
        <v>445</v>
      </c>
      <c r="E5" s="43">
        <v>10</v>
      </c>
      <c r="F5" s="43">
        <v>0.4</v>
      </c>
      <c r="G5" s="43">
        <v>650</v>
      </c>
      <c r="H5" s="43">
        <v>0.5</v>
      </c>
      <c r="I5" s="43">
        <v>20</v>
      </c>
      <c r="J5" s="43">
        <v>2000</v>
      </c>
      <c r="K5" s="7">
        <v>1</v>
      </c>
      <c r="L5" s="61" t="s">
        <v>72</v>
      </c>
      <c r="M5" s="48">
        <v>1004</v>
      </c>
      <c r="N5" s="63">
        <v>0</v>
      </c>
      <c r="O5" s="61">
        <v>0</v>
      </c>
      <c r="P5" s="7" t="s">
        <v>442</v>
      </c>
      <c r="Q5" s="7">
        <v>1041</v>
      </c>
      <c r="R5" s="7">
        <v>45</v>
      </c>
      <c r="S5" s="7">
        <v>1</v>
      </c>
      <c r="AB5" s="43">
        <v>5.5</v>
      </c>
      <c r="AC5" s="43" t="s">
        <v>34</v>
      </c>
      <c r="AE5" s="43" t="s">
        <v>34</v>
      </c>
      <c r="BI5" s="22">
        <f t="shared" si="0"/>
        <v>1286.7482727473557</v>
      </c>
      <c r="BJ5" s="22">
        <f t="shared" si="1"/>
        <v>2621.4054238139579</v>
      </c>
      <c r="BK5" s="22">
        <f t="shared" si="2"/>
        <v>1334.6571510666022</v>
      </c>
      <c r="BL5" s="22">
        <f t="shared" si="3"/>
        <v>133.46571510666021</v>
      </c>
      <c r="BM5" s="66">
        <f t="shared" si="4"/>
        <v>1334.6571510666022</v>
      </c>
      <c r="BN5" s="66">
        <f t="shared" si="4"/>
        <v>133.46571510666021</v>
      </c>
      <c r="BO5" s="23">
        <f t="shared" si="5"/>
        <v>160.74792380952385</v>
      </c>
      <c r="BP5" s="23">
        <f t="shared" si="6"/>
        <v>0</v>
      </c>
      <c r="BQ5" s="23">
        <f>IF(BO5*DJ5&gt;CU5+CY5+DA5+DC5+O5*DI5,CU5+CY5+DA5+DC5+O5*DI5,BO5*DJ5)</f>
        <v>23.606721671545863</v>
      </c>
      <c r="BR5" s="24">
        <f t="shared" si="7"/>
        <v>8.4663748632424181</v>
      </c>
      <c r="BS5" s="24">
        <f t="shared" si="8"/>
        <v>0</v>
      </c>
      <c r="BT5" s="68">
        <f t="shared" si="9"/>
        <v>1957.3190476190489</v>
      </c>
      <c r="BU5" s="68">
        <f t="shared" si="10"/>
        <v>4500</v>
      </c>
      <c r="BV5" s="25">
        <f t="shared" si="11"/>
        <v>36.656373809523835</v>
      </c>
      <c r="BW5" s="26">
        <f t="shared" si="12"/>
        <v>225.48416857187198</v>
      </c>
      <c r="BX5" s="27"/>
      <c r="BY5" s="28">
        <f>IF(AI5="",VLOOKUP($M5,'HU-MOD-2-Parameters_CROP'!$A$4:$AE$151,5,),AI5)</f>
        <v>0.86</v>
      </c>
      <c r="BZ5" s="28">
        <f>IF(AJ5="",VLOOKUP($M5,'HU-MOD-2-Parameters_CROP'!$A$4:$AE$151,6,),AJ5)</f>
        <v>0.44500000000000001</v>
      </c>
      <c r="CA5" s="28">
        <f>IF(AK5="",VLOOKUP($M5,'HU-MOD-2-Parameters_CROP'!$A$4:$AE$151,7,),AK5)</f>
        <v>1.9800000000000002E-2</v>
      </c>
      <c r="CB5" s="28">
        <f>IF(AD5="",$AB5*VLOOKUP($M5,'HU-MOD-2-Parameters_CROP'!$A$4:$AE$201,8,),AD5)</f>
        <v>7.15</v>
      </c>
      <c r="CC5" s="28">
        <f>IF(AL5="",VLOOKUP($M5,'HU-MOD-2-Parameters_CROP'!$A$4:$AE$151,9,),AL5)</f>
        <v>0.86</v>
      </c>
      <c r="CD5" s="28">
        <f>IF(AM5="",VLOOKUP($M5,'HU-MOD-2-Parameters_CROP'!$A$4:$AE$151,10,),AM5)</f>
        <v>0.46</v>
      </c>
      <c r="CE5" s="28">
        <f>IF(AN5="",VLOOKUP($M5,'HU-MOD-2-Parameters_CROP'!$A$4:$AE$151,11,),AN5)</f>
        <v>4.9500000000000004E-3</v>
      </c>
      <c r="CF5" s="28">
        <f>IF(AF5="",$AB5*VLOOKUP($M5,'HU-MOD-2-Parameters_CROP'!$A$4:$AE$201,12,),AF5)</f>
        <v>0</v>
      </c>
      <c r="CG5" s="28">
        <f>IF(AO5="",VLOOKUP($M5,'HU-MOD-2-Parameters_CROP'!$A$4:$AE$151,13,),AO5)</f>
        <v>0</v>
      </c>
      <c r="CH5" s="28">
        <f>IF(AP5="",VLOOKUP($M5,'HU-MOD-2-Parameters_CROP'!$A$4:$AE$151,14,),AP5)</f>
        <v>0</v>
      </c>
      <c r="CI5" s="28">
        <f>IF(AQ5="",VLOOKUP($M5,'HU-MOD-2-Parameters_CROP'!$A$4:$AE$151,15,),AQ5)</f>
        <v>0</v>
      </c>
      <c r="CJ5" s="28">
        <f>IF(AG5="",$AB5*VLOOKUP($M5,'HU-MOD-2-Parameters_CROP'!$A$4:$AE$201,16,),AG5)</f>
        <v>1.4404761904761909</v>
      </c>
      <c r="CK5" s="28">
        <f>IF(AR5="",VLOOKUP($M5,'HU-MOD-2-Parameters_CROP'!$A$4:$AE$151,17,),AR5)</f>
        <v>0.86</v>
      </c>
      <c r="CL5" s="28">
        <f>IF(AS5="",VLOOKUP($M5,'HU-MOD-2-Parameters_CROP'!$A$4:$AE$151,18,),AS5)</f>
        <v>0.46</v>
      </c>
      <c r="CM5" s="28">
        <f>IF(AT5="",VLOOKUP($M5,'HU-MOD-2-Parameters_CROP'!$A$4:$AE$151,19,),AT5)</f>
        <v>4.9500000000000004E-3</v>
      </c>
      <c r="CN5" s="28">
        <f>IF(AH5="",$AB5*BY5*VLOOKUP($M5,'HU-MOD-2-Parameters_CROP'!$A$4:$AE$201,20,),AH5)</f>
        <v>3.4686666666666692</v>
      </c>
      <c r="CO5" s="28">
        <f>IF(AU5="",VLOOKUP($M5,'HU-MOD-2-Parameters_CROP'!$A$4:$AE$151,21,),AU5)</f>
        <v>1</v>
      </c>
      <c r="CP5" s="28">
        <f>IF(AV5="",VLOOKUP($M5,'HU-MOD-2-Parameters_CROP'!$A$4:$AE$151,22,),AV5)</f>
        <v>0.4</v>
      </c>
      <c r="CQ5" s="28">
        <f>IF(AW5="",VLOOKUP($M5,'HU-MOD-2-Parameters_CROP'!$A$4:$AE$151,23,),AW5)</f>
        <v>8.8000000000000005E-3</v>
      </c>
      <c r="CR5" s="28">
        <f>IF(AX5="",VLOOKUP($Q5,'HU-MOD-2-Parameters_FTLZ'!$A$4:$I$109,5,),AX5)</f>
        <v>0.25</v>
      </c>
      <c r="CS5" s="28">
        <f>IF(AY5="",VLOOKUP($Q5,'HU-MOD-2-Parameters_FTLZ'!$A$4:$I$109,6,),AY5)</f>
        <v>0.4</v>
      </c>
      <c r="CT5" s="28">
        <f>IF(AZ5="",VLOOKUP($Q5,'HU-MOD-2-Parameters_FTLZ'!$A$4:$I$109,7,),AZ5)</f>
        <v>2.5000000000000001E-2</v>
      </c>
      <c r="CU5" s="28">
        <f t="shared" si="13"/>
        <v>23.606721671545863</v>
      </c>
      <c r="CV5" s="28">
        <f>IF(BA5="",VLOOKUP($U5,'HU-MOD-2-Parameters_FTLZ'!$A$4:$I$109,5,),BA5)</f>
        <v>0</v>
      </c>
      <c r="CW5" s="28">
        <f>IF(BB5="",VLOOKUP($U5,'HU-MOD-2-Parameters_FTLZ'!$A$4:$I$109,6,),BB5)</f>
        <v>0</v>
      </c>
      <c r="CX5" s="28">
        <f>IF(BC5="",VLOOKUP($U5,'HU-MOD-2-Parameters_FTLZ'!$A$4:$I$109,7,),BC5)</f>
        <v>0</v>
      </c>
      <c r="CY5" s="28">
        <f>IF(CV5=0,0,IF(W5=1,1000*V5*CV5*CX5*(1.6674*POWER(CW5/CX5,-0.768))*DI5,1000*V5*CV5*CX5*(1.6674*POWER(CW5/CX5,-0.768))*DH5))</f>
        <v>0</v>
      </c>
      <c r="CZ5" s="28">
        <f t="shared" si="14"/>
        <v>0</v>
      </c>
      <c r="DA5" s="28">
        <f t="shared" si="15"/>
        <v>0</v>
      </c>
      <c r="DB5" s="28">
        <f t="shared" si="16"/>
        <v>0</v>
      </c>
      <c r="DC5" s="28">
        <f t="shared" si="17"/>
        <v>0</v>
      </c>
      <c r="DD5" s="28"/>
      <c r="DE5" s="28">
        <f>IF(N5="",VLOOKUP(M5,'HU-MOD-2-Parameters_CROP'!$A$4:$AE$151,24,),N5)</f>
        <v>0</v>
      </c>
      <c r="DF5" s="28">
        <f>IF(BG5="",VLOOKUP(M5,'HU-MOD-2-Parameters_CROP'!$A$4:$AE$151,25,),BG5)</f>
        <v>0</v>
      </c>
      <c r="DG5" s="28">
        <f>IF(BH5="",VLOOKUP(M5,'HU-MOD-2-Parameters_CROP'!$A$4:$AE$151,26,),BH5)</f>
        <v>0</v>
      </c>
      <c r="DH5" s="28">
        <v>1</v>
      </c>
      <c r="DI5" s="28">
        <f t="shared" si="18"/>
        <v>0.42331874316212093</v>
      </c>
      <c r="DJ5" s="28">
        <v>0.6</v>
      </c>
      <c r="DK5" s="29"/>
      <c r="DL5" s="29"/>
      <c r="DM5" s="29"/>
      <c r="DN5" s="29"/>
      <c r="DO5" s="29"/>
      <c r="DP5" s="29"/>
      <c r="DQ5" s="29"/>
      <c r="DR5" s="29"/>
      <c r="DS5" s="22"/>
      <c r="DT5" s="22"/>
      <c r="DU5" s="22"/>
      <c r="DV5" s="22"/>
    </row>
    <row r="6" spans="1:126" x14ac:dyDescent="0.25">
      <c r="A6" s="43" t="s">
        <v>444</v>
      </c>
      <c r="B6" s="43" t="s">
        <v>445</v>
      </c>
      <c r="E6" s="43">
        <v>10</v>
      </c>
      <c r="F6" s="43">
        <v>0.4</v>
      </c>
      <c r="G6" s="43">
        <v>650</v>
      </c>
      <c r="H6" s="43">
        <v>0.5</v>
      </c>
      <c r="I6" s="43">
        <v>20</v>
      </c>
      <c r="J6" s="43">
        <v>2001</v>
      </c>
      <c r="K6" s="61">
        <v>1</v>
      </c>
      <c r="L6" s="61" t="s">
        <v>440</v>
      </c>
      <c r="M6" s="48">
        <v>1050</v>
      </c>
      <c r="N6" s="63">
        <v>0.9</v>
      </c>
      <c r="O6" s="61">
        <v>0</v>
      </c>
      <c r="P6" s="61"/>
      <c r="Q6" s="61"/>
      <c r="R6" s="61"/>
      <c r="S6" s="61"/>
      <c r="T6" s="61"/>
      <c r="U6" s="61"/>
      <c r="V6" s="61"/>
      <c r="W6" s="61"/>
      <c r="X6" s="61"/>
      <c r="Y6" s="61"/>
      <c r="Z6" s="61"/>
      <c r="AA6" s="61"/>
      <c r="AB6" s="43">
        <v>30</v>
      </c>
      <c r="AC6" s="43" t="s">
        <v>34</v>
      </c>
      <c r="BH6" s="61"/>
      <c r="BI6" s="22">
        <f t="shared" si="0"/>
        <v>690.89999999999986</v>
      </c>
      <c r="BJ6" s="22">
        <f t="shared" si="1"/>
        <v>1224</v>
      </c>
      <c r="BK6" s="72">
        <f t="shared" si="2"/>
        <v>533.10000000000014</v>
      </c>
      <c r="BL6" s="72">
        <f t="shared" si="3"/>
        <v>53.310000000000016</v>
      </c>
      <c r="BM6" s="66">
        <f t="shared" ref="BM6:BM12" si="19">IF($J7=$J6,BK7+BK6,IF($J5=$J6,"",BK6))</f>
        <v>646.38000000000011</v>
      </c>
      <c r="BN6" s="66">
        <f t="shared" ref="BN6:BN12" si="20">IF($J7=$J6,BL7+BL6,IF($J5=$J6,"",BL6))</f>
        <v>64.638000000000019</v>
      </c>
      <c r="BO6" s="23">
        <f t="shared" si="5"/>
        <v>294.00000000000006</v>
      </c>
      <c r="BP6" s="23">
        <f t="shared" si="6"/>
        <v>216.44362513675765</v>
      </c>
      <c r="BQ6" s="23">
        <f>IF(BO6*DJ6&gt;CU6+CY6+DA6+DC6+O6,CU6+CY6+DA6+DC6+O6,BO6*DJ6)</f>
        <v>0</v>
      </c>
      <c r="BR6" s="24">
        <f t="shared" si="7"/>
        <v>8.4663748632424181</v>
      </c>
      <c r="BS6" s="71">
        <f t="shared" si="8"/>
        <v>0</v>
      </c>
      <c r="BT6" s="68">
        <f t="shared" si="9"/>
        <v>2400.0000000000005</v>
      </c>
      <c r="BU6" s="68">
        <f t="shared" si="10"/>
        <v>0</v>
      </c>
      <c r="BV6" s="25">
        <f t="shared" si="11"/>
        <v>122.4</v>
      </c>
      <c r="BW6" s="26">
        <f t="shared" si="12"/>
        <v>0</v>
      </c>
      <c r="BX6" s="27"/>
      <c r="BY6" s="53">
        <f>IF(AI6="",VLOOKUP($M6,'HU-MOD-2-Parameters_CROP'!$A$4:$AE$151,5,),AI6)</f>
        <v>0.2</v>
      </c>
      <c r="BZ6" s="53">
        <f>IF(AJ6="",VLOOKUP($M6,'HU-MOD-2-Parameters_CROP'!$A$4:$AE$151,6,),AJ6)</f>
        <v>0.46</v>
      </c>
      <c r="CA6" s="53">
        <f>IF(AK6="",VLOOKUP($M6,'HU-MOD-2-Parameters_CROP'!$A$4:$AE$151,7,),AK6)</f>
        <v>2.86E-2</v>
      </c>
      <c r="CB6" s="53">
        <f>IF(AD6="",$AB6*VLOOKUP($M6,'HU-MOD-2-Parameters_CROP'!$A$4:$AE$201,8,),AD6)</f>
        <v>0</v>
      </c>
      <c r="CC6" s="53">
        <f>IF(AL6="",VLOOKUP($M6,'HU-MOD-2-Parameters_CROP'!$A$4:$AE$151,9,),AL6)</f>
        <v>0</v>
      </c>
      <c r="CD6" s="53">
        <f>IF(AM6="",VLOOKUP($M6,'HU-MOD-2-Parameters_CROP'!$A$4:$AE$151,10,),AM6)</f>
        <v>0.46</v>
      </c>
      <c r="CE6" s="53">
        <f>IF(AN6="",VLOOKUP($M6,'HU-MOD-2-Parameters_CROP'!$A$4:$AE$151,11,),AN6)</f>
        <v>2.86E-2</v>
      </c>
      <c r="CF6" s="53">
        <f>IF(AF6="",$AB6*VLOOKUP($M6,'HU-MOD-2-Parameters_CROP'!$A$4:$AE$201,12,),AF6)</f>
        <v>0</v>
      </c>
      <c r="CG6" s="53">
        <f>IF(AO6="",VLOOKUP($M6,'HU-MOD-2-Parameters_CROP'!$A$4:$AE$151,13,),AO6)</f>
        <v>0</v>
      </c>
      <c r="CH6" s="53">
        <f>IF(AP6="",VLOOKUP($M6,'HU-MOD-2-Parameters_CROP'!$A$4:$AE$151,14,),AP6)</f>
        <v>0</v>
      </c>
      <c r="CI6" s="53">
        <f>IF(AQ6="",VLOOKUP($M6,'HU-MOD-2-Parameters_CROP'!$A$4:$AE$151,15,),AQ6)</f>
        <v>0</v>
      </c>
      <c r="CJ6" s="53">
        <f>IF(AG6="",$AB6*VLOOKUP($M6,'HU-MOD-2-Parameters_CROP'!$A$4:$AE$201,16,),AG6)</f>
        <v>6</v>
      </c>
      <c r="CK6" s="53">
        <f>IF(AR6="",VLOOKUP($M6,'HU-MOD-2-Parameters_CROP'!$A$4:$AE$151,17,),AR6)</f>
        <v>0</v>
      </c>
      <c r="CL6" s="53">
        <f>IF(AS6="",VLOOKUP($M6,'HU-MOD-2-Parameters_CROP'!$A$4:$AE$151,18,),AS6)</f>
        <v>0.46</v>
      </c>
      <c r="CM6" s="53">
        <f>IF(AT6="",VLOOKUP($M6,'HU-MOD-2-Parameters_CROP'!$A$4:$AE$151,19,),AT6)</f>
        <v>2.86E-2</v>
      </c>
      <c r="CN6" s="53">
        <f>IF(AH6="",$AB6*BY6*VLOOKUP($M6,'HU-MOD-2-Parameters_CROP'!$A$4:$AE$201,20,),AH6)</f>
        <v>6</v>
      </c>
      <c r="CO6" s="53">
        <f>IF(AU6="",VLOOKUP($M6,'HU-MOD-2-Parameters_CROP'!$A$4:$AE$151,21,),AU6)</f>
        <v>1</v>
      </c>
      <c r="CP6" s="53">
        <f>IF(AV6="",VLOOKUP($M6,'HU-MOD-2-Parameters_CROP'!$A$4:$AE$151,22,),AV6)</f>
        <v>0.4</v>
      </c>
      <c r="CQ6" s="53">
        <f>IF(AW6="",VLOOKUP($M6,'HU-MOD-2-Parameters_CROP'!$A$4:$AE$151,23,),AW6)</f>
        <v>2.0400000000000001E-2</v>
      </c>
      <c r="CR6" s="53">
        <f>IF(AX6="",VLOOKUP($Q6,'HU-MOD-2-Parameters_FTLZ'!$A$4:$I$109,5,),AX6)</f>
        <v>0</v>
      </c>
      <c r="CS6" s="53">
        <f>IF(AY6="",VLOOKUP($Q6,'HU-MOD-2-Parameters_FTLZ'!$A$4:$I$109,6,),AY6)</f>
        <v>0</v>
      </c>
      <c r="CT6" s="53">
        <f>IF(AZ6="",VLOOKUP($Q6,'HU-MOD-2-Parameters_FTLZ'!$A$4:$I$109,7,),AZ6)</f>
        <v>0</v>
      </c>
      <c r="CU6" s="53">
        <f t="shared" si="13"/>
        <v>0</v>
      </c>
      <c r="CV6" s="53">
        <f>IF(BA6="",VLOOKUP($U6,'HU-MOD-2-Parameters_FTLZ'!$A$4:$I$109,5,),BA6)</f>
        <v>0</v>
      </c>
      <c r="CW6" s="53">
        <f>IF(BB6="",VLOOKUP($U6,'HU-MOD-2-Parameters_FTLZ'!$A$4:$I$109,6,),BB6)</f>
        <v>0</v>
      </c>
      <c r="CX6" s="53">
        <f>IF(BC6="",VLOOKUP($U6,'HU-MOD-2-Parameters_FTLZ'!$A$4:$I$109,7,),BC6)</f>
        <v>0</v>
      </c>
      <c r="CY6" s="53">
        <f>IF(CV6=0,0,IF(W6=1,1000*V6*CV6*CX6*(1.6674*POWER(CW6/CX6,-0.768))*DM6,1000*V6*CV6*CX6*(1.6674*POWER(CW6/CX6,-0.768))*DL6))</f>
        <v>0</v>
      </c>
      <c r="CZ6" s="53">
        <f t="shared" si="14"/>
        <v>0</v>
      </c>
      <c r="DA6" s="53">
        <f t="shared" si="15"/>
        <v>0</v>
      </c>
      <c r="DB6" s="53">
        <f t="shared" si="16"/>
        <v>0</v>
      </c>
      <c r="DC6" s="53">
        <f t="shared" si="17"/>
        <v>0</v>
      </c>
      <c r="DD6" s="53"/>
      <c r="DE6" s="53">
        <f>IF(N6="",VLOOKUP(M6,'HU-MOD-2-Parameters_CROP'!$A$4:$AE$151,24,),N6)</f>
        <v>0.9</v>
      </c>
      <c r="DF6" s="53">
        <f>IF(BG6="",VLOOKUP(M6,'HU-MOD-2-Parameters_CROP'!$A$4:$AE$151,25,),BG6)</f>
        <v>0.85</v>
      </c>
      <c r="DG6" s="53">
        <f>IF(BH6="",VLOOKUP(M6,'HU-MOD-2-Parameters_CROP'!$A$4:$AE$151,26,),BH6)</f>
        <v>0</v>
      </c>
      <c r="DH6" s="53">
        <v>1</v>
      </c>
      <c r="DI6" s="53">
        <f t="shared" si="18"/>
        <v>0.42331874316212093</v>
      </c>
      <c r="DJ6" s="53">
        <v>0.6</v>
      </c>
      <c r="DK6" s="29"/>
      <c r="DL6" s="29"/>
      <c r="DM6" s="29"/>
      <c r="DN6" s="29"/>
      <c r="DO6" s="29"/>
      <c r="DP6" s="29"/>
      <c r="DQ6" s="29"/>
      <c r="DR6" s="29"/>
      <c r="DS6" s="22"/>
      <c r="DT6" s="22"/>
      <c r="DU6" s="22"/>
      <c r="DV6" s="22"/>
    </row>
    <row r="7" spans="1:126" x14ac:dyDescent="0.25">
      <c r="A7" s="43" t="s">
        <v>444</v>
      </c>
      <c r="B7" s="43" t="s">
        <v>445</v>
      </c>
      <c r="E7" s="43">
        <v>10</v>
      </c>
      <c r="F7" s="43">
        <v>0.4</v>
      </c>
      <c r="G7" s="43">
        <v>650</v>
      </c>
      <c r="H7" s="43">
        <v>0.5</v>
      </c>
      <c r="I7" s="43">
        <v>20</v>
      </c>
      <c r="J7" s="43">
        <v>2001</v>
      </c>
      <c r="K7" s="61">
        <v>2</v>
      </c>
      <c r="L7" s="61" t="s">
        <v>440</v>
      </c>
      <c r="M7" s="48">
        <v>1050</v>
      </c>
      <c r="N7" s="63">
        <v>0.8</v>
      </c>
      <c r="O7" s="61">
        <v>0</v>
      </c>
      <c r="P7" s="61"/>
      <c r="Q7" s="61"/>
      <c r="R7" s="61"/>
      <c r="S7" s="61"/>
      <c r="T7" s="61"/>
      <c r="U7" s="61"/>
      <c r="V7" s="61"/>
      <c r="W7" s="61"/>
      <c r="X7" s="61"/>
      <c r="Y7" s="61"/>
      <c r="Z7" s="61"/>
      <c r="AA7" s="61"/>
      <c r="AB7" s="43">
        <v>12</v>
      </c>
      <c r="AC7" s="43" t="s">
        <v>34</v>
      </c>
      <c r="BH7" s="61"/>
      <c r="BI7" s="22">
        <f t="shared" si="0"/>
        <v>376.32000000000005</v>
      </c>
      <c r="BJ7" s="22">
        <f t="shared" si="1"/>
        <v>489.60000000000008</v>
      </c>
      <c r="BK7" s="72">
        <f t="shared" si="2"/>
        <v>113.28000000000003</v>
      </c>
      <c r="BL7" s="72">
        <f t="shared" si="3"/>
        <v>11.328000000000003</v>
      </c>
      <c r="BM7" s="66">
        <f t="shared" si="19"/>
        <v>124.38000000000011</v>
      </c>
      <c r="BN7" s="66">
        <f t="shared" si="20"/>
        <v>12.438000000000011</v>
      </c>
      <c r="BO7" s="23">
        <f t="shared" si="5"/>
        <v>117.60000000000001</v>
      </c>
      <c r="BP7" s="23">
        <f t="shared" si="6"/>
        <v>71.501625136757582</v>
      </c>
      <c r="BQ7" s="23">
        <f>IF(BO7*DJ7&gt;CU7+CY7+DA7+DC7+O7,CU7+CY7+DA7+DC7+O7,BO7*DJ7)</f>
        <v>0</v>
      </c>
      <c r="BR7" s="24">
        <f t="shared" si="7"/>
        <v>8.4663748632424181</v>
      </c>
      <c r="BS7" s="71">
        <f t="shared" si="8"/>
        <v>0</v>
      </c>
      <c r="BT7" s="68">
        <f t="shared" si="9"/>
        <v>960.00000000000023</v>
      </c>
      <c r="BU7" s="68">
        <f t="shared" si="10"/>
        <v>0</v>
      </c>
      <c r="BV7" s="25">
        <f t="shared" si="11"/>
        <v>48.960000000000008</v>
      </c>
      <c r="BW7" s="26">
        <f t="shared" si="12"/>
        <v>0</v>
      </c>
      <c r="BX7" s="27"/>
      <c r="BY7" s="53">
        <f>IF(AI7="",VLOOKUP($M7,'HU-MOD-2-Parameters_CROP'!$A$4:$AE$151,5,),AI7)</f>
        <v>0.2</v>
      </c>
      <c r="BZ7" s="53">
        <f>IF(AJ7="",VLOOKUP($M7,'HU-MOD-2-Parameters_CROP'!$A$4:$AE$151,6,),AJ7)</f>
        <v>0.46</v>
      </c>
      <c r="CA7" s="53">
        <f>IF(AK7="",VLOOKUP($M7,'HU-MOD-2-Parameters_CROP'!$A$4:$AE$151,7,),AK7)</f>
        <v>2.86E-2</v>
      </c>
      <c r="CB7" s="53">
        <f>IF(AD7="",$AB7*VLOOKUP($M7,'HU-MOD-2-Parameters_CROP'!$A$4:$AE$201,8,),AD7)</f>
        <v>0</v>
      </c>
      <c r="CC7" s="53">
        <f>IF(AL7="",VLOOKUP($M7,'HU-MOD-2-Parameters_CROP'!$A$4:$AE$151,9,),AL7)</f>
        <v>0</v>
      </c>
      <c r="CD7" s="53">
        <f>IF(AM7="",VLOOKUP($M7,'HU-MOD-2-Parameters_CROP'!$A$4:$AE$151,10,),AM7)</f>
        <v>0.46</v>
      </c>
      <c r="CE7" s="53">
        <f>IF(AN7="",VLOOKUP($M7,'HU-MOD-2-Parameters_CROP'!$A$4:$AE$151,11,),AN7)</f>
        <v>2.86E-2</v>
      </c>
      <c r="CF7" s="53">
        <f>IF(AF7="",$AB7*VLOOKUP($M7,'HU-MOD-2-Parameters_CROP'!$A$4:$AE$201,12,),AF7)</f>
        <v>0</v>
      </c>
      <c r="CG7" s="53">
        <f>IF(AO7="",VLOOKUP($M7,'HU-MOD-2-Parameters_CROP'!$A$4:$AE$151,13,),AO7)</f>
        <v>0</v>
      </c>
      <c r="CH7" s="53">
        <f>IF(AP7="",VLOOKUP($M7,'HU-MOD-2-Parameters_CROP'!$A$4:$AE$151,14,),AP7)</f>
        <v>0</v>
      </c>
      <c r="CI7" s="53">
        <f>IF(AQ7="",VLOOKUP($M7,'HU-MOD-2-Parameters_CROP'!$A$4:$AE$151,15,),AQ7)</f>
        <v>0</v>
      </c>
      <c r="CJ7" s="53">
        <f>IF(AG7="",$AB7*VLOOKUP($M7,'HU-MOD-2-Parameters_CROP'!$A$4:$AE$201,16,),AG7)</f>
        <v>2.4000000000000004</v>
      </c>
      <c r="CK7" s="53">
        <f>IF(AR7="",VLOOKUP($M7,'HU-MOD-2-Parameters_CROP'!$A$4:$AE$151,17,),AR7)</f>
        <v>0</v>
      </c>
      <c r="CL7" s="53">
        <f>IF(AS7="",VLOOKUP($M7,'HU-MOD-2-Parameters_CROP'!$A$4:$AE$151,18,),AS7)</f>
        <v>0.46</v>
      </c>
      <c r="CM7" s="53">
        <f>IF(AT7="",VLOOKUP($M7,'HU-MOD-2-Parameters_CROP'!$A$4:$AE$151,19,),AT7)</f>
        <v>2.86E-2</v>
      </c>
      <c r="CN7" s="53">
        <f>IF(AH7="",$AB7*BY7*VLOOKUP($M7,'HU-MOD-2-Parameters_CROP'!$A$4:$AE$201,20,),AH7)</f>
        <v>2.4000000000000004</v>
      </c>
      <c r="CO7" s="53">
        <f>IF(AU7="",VLOOKUP($M7,'HU-MOD-2-Parameters_CROP'!$A$4:$AE$151,21,),AU7)</f>
        <v>1</v>
      </c>
      <c r="CP7" s="53">
        <f>IF(AV7="",VLOOKUP($M7,'HU-MOD-2-Parameters_CROP'!$A$4:$AE$151,22,),AV7)</f>
        <v>0.4</v>
      </c>
      <c r="CQ7" s="53">
        <f>IF(AW7="",VLOOKUP($M7,'HU-MOD-2-Parameters_CROP'!$A$4:$AE$151,23,),AW7)</f>
        <v>2.0400000000000001E-2</v>
      </c>
      <c r="CR7" s="53">
        <f>IF(AX7="",VLOOKUP($Q7,'HU-MOD-2-Parameters_FTLZ'!$A$4:$I$109,5,),AX7)</f>
        <v>0</v>
      </c>
      <c r="CS7" s="53">
        <f>IF(AY7="",VLOOKUP($Q7,'HU-MOD-2-Parameters_FTLZ'!$A$4:$I$109,6,),AY7)</f>
        <v>0</v>
      </c>
      <c r="CT7" s="53">
        <f>IF(AZ7="",VLOOKUP($Q7,'HU-MOD-2-Parameters_FTLZ'!$A$4:$I$109,7,),AZ7)</f>
        <v>0</v>
      </c>
      <c r="CU7" s="53">
        <f t="shared" si="13"/>
        <v>0</v>
      </c>
      <c r="CV7" s="53">
        <f>IF(BA7="",VLOOKUP($U7,'HU-MOD-2-Parameters_FTLZ'!$A$4:$I$109,5,),BA7)</f>
        <v>0</v>
      </c>
      <c r="CW7" s="53">
        <f>IF(BB7="",VLOOKUP($U7,'HU-MOD-2-Parameters_FTLZ'!$A$4:$I$109,6,),BB7)</f>
        <v>0</v>
      </c>
      <c r="CX7" s="53">
        <f>IF(BC7="",VLOOKUP($U7,'HU-MOD-2-Parameters_FTLZ'!$A$4:$I$109,7,),BC7)</f>
        <v>0</v>
      </c>
      <c r="CY7" s="53">
        <f>IF(CV7=0,0,IF(W7=1,1000*V7*CV7*CX7*(1.6674*POWER(CW7/CX7,-0.768))*DM7,1000*V7*CV7*CX7*(1.6674*POWER(CW7/CX7,-0.768))*DL7))</f>
        <v>0</v>
      </c>
      <c r="CZ7" s="53">
        <f t="shared" si="14"/>
        <v>0</v>
      </c>
      <c r="DA7" s="53">
        <f t="shared" si="15"/>
        <v>0</v>
      </c>
      <c r="DB7" s="53">
        <f t="shared" si="16"/>
        <v>0</v>
      </c>
      <c r="DC7" s="53">
        <f t="shared" si="17"/>
        <v>0</v>
      </c>
      <c r="DD7" s="53"/>
      <c r="DE7" s="53">
        <f>IF(N7="",VLOOKUP(M7,'HU-MOD-2-Parameters_CROP'!$A$4:$AE$151,24,),N7)</f>
        <v>0.8</v>
      </c>
      <c r="DF7" s="53">
        <f>IF(BG7="",VLOOKUP(M7,'HU-MOD-2-Parameters_CROP'!$A$4:$AE$151,25,),BG7)</f>
        <v>0.85</v>
      </c>
      <c r="DG7" s="53">
        <f>IF(BH7="",VLOOKUP(M7,'HU-MOD-2-Parameters_CROP'!$A$4:$AE$151,26,),BH7)</f>
        <v>0</v>
      </c>
      <c r="DH7" s="53">
        <v>1</v>
      </c>
      <c r="DI7" s="53">
        <f t="shared" si="18"/>
        <v>0.42331874316212093</v>
      </c>
      <c r="DJ7" s="53">
        <v>0.6</v>
      </c>
      <c r="DK7" s="29"/>
      <c r="DL7" s="29"/>
      <c r="DM7" s="29"/>
      <c r="DN7" s="29"/>
      <c r="DO7" s="29"/>
      <c r="DP7" s="29"/>
      <c r="DQ7" s="29"/>
      <c r="DR7" s="29"/>
      <c r="DS7" s="22"/>
      <c r="DT7" s="22"/>
      <c r="DU7" s="22"/>
      <c r="DV7" s="22"/>
    </row>
    <row r="8" spans="1:126" x14ac:dyDescent="0.25">
      <c r="A8" s="43" t="s">
        <v>444</v>
      </c>
      <c r="B8" s="43" t="s">
        <v>445</v>
      </c>
      <c r="E8" s="43">
        <v>10</v>
      </c>
      <c r="F8" s="43">
        <v>0.4</v>
      </c>
      <c r="G8" s="43">
        <v>650</v>
      </c>
      <c r="H8" s="43">
        <v>0.5</v>
      </c>
      <c r="I8" s="43">
        <v>20</v>
      </c>
      <c r="J8" s="43">
        <v>2001</v>
      </c>
      <c r="K8" s="61">
        <v>3</v>
      </c>
      <c r="L8" s="61" t="s">
        <v>440</v>
      </c>
      <c r="M8" s="48">
        <v>1050</v>
      </c>
      <c r="N8" s="63">
        <v>0.7</v>
      </c>
      <c r="O8" s="61">
        <v>0</v>
      </c>
      <c r="P8" s="61"/>
      <c r="Q8" s="61"/>
      <c r="R8" s="61"/>
      <c r="S8" s="61"/>
      <c r="T8" s="61"/>
      <c r="U8" s="61"/>
      <c r="V8" s="61"/>
      <c r="W8" s="61"/>
      <c r="X8" s="61"/>
      <c r="Y8" s="61"/>
      <c r="Z8" s="61"/>
      <c r="AA8" s="61"/>
      <c r="AB8" s="43">
        <v>10</v>
      </c>
      <c r="AC8" s="43" t="s">
        <v>34</v>
      </c>
      <c r="BH8" s="61"/>
      <c r="BI8" s="22">
        <f t="shared" si="0"/>
        <v>396.9</v>
      </c>
      <c r="BJ8" s="22">
        <f t="shared" si="1"/>
        <v>408.00000000000006</v>
      </c>
      <c r="BK8" s="72">
        <f t="shared" si="2"/>
        <v>11.10000000000008</v>
      </c>
      <c r="BL8" s="72">
        <f t="shared" si="3"/>
        <v>1.1100000000000079</v>
      </c>
      <c r="BM8" s="66">
        <f t="shared" si="19"/>
        <v>-46.659999999999911</v>
      </c>
      <c r="BN8" s="66">
        <f t="shared" si="20"/>
        <v>-4.6659999999999915</v>
      </c>
      <c r="BO8" s="23">
        <f t="shared" si="5"/>
        <v>98</v>
      </c>
      <c r="BP8" s="23">
        <f t="shared" si="6"/>
        <v>49.843625136757581</v>
      </c>
      <c r="BQ8" s="23">
        <f>IF(BO8*DJ8&gt;CU8+CY8+DA8+DC8+O8,CU8+CY8+DA8+DC8+O8,BO8*DJ8)</f>
        <v>0</v>
      </c>
      <c r="BR8" s="24">
        <f t="shared" si="7"/>
        <v>8.4663748632424181</v>
      </c>
      <c r="BS8" s="71">
        <f t="shared" si="8"/>
        <v>0</v>
      </c>
      <c r="BT8" s="68">
        <f t="shared" si="9"/>
        <v>800</v>
      </c>
      <c r="BU8" s="68">
        <f t="shared" si="10"/>
        <v>0</v>
      </c>
      <c r="BV8" s="25">
        <f t="shared" si="11"/>
        <v>40.800000000000004</v>
      </c>
      <c r="BW8" s="26">
        <f t="shared" si="12"/>
        <v>0</v>
      </c>
      <c r="BX8" s="27"/>
      <c r="BY8" s="53">
        <f>IF(AI8="",VLOOKUP($M8,'HU-MOD-2-Parameters_CROP'!$A$4:$AE$151,5,),AI8)</f>
        <v>0.2</v>
      </c>
      <c r="BZ8" s="53">
        <f>IF(AJ8="",VLOOKUP($M8,'HU-MOD-2-Parameters_CROP'!$A$4:$AE$151,6,),AJ8)</f>
        <v>0.46</v>
      </c>
      <c r="CA8" s="53">
        <f>IF(AK8="",VLOOKUP($M8,'HU-MOD-2-Parameters_CROP'!$A$4:$AE$151,7,),AK8)</f>
        <v>2.86E-2</v>
      </c>
      <c r="CB8" s="53">
        <f>IF(AD8="",$AB8*VLOOKUP($M8,'HU-MOD-2-Parameters_CROP'!$A$4:$AE$201,8,),AD8)</f>
        <v>0</v>
      </c>
      <c r="CC8" s="53">
        <f>IF(AL8="",VLOOKUP($M8,'HU-MOD-2-Parameters_CROP'!$A$4:$AE$151,9,),AL8)</f>
        <v>0</v>
      </c>
      <c r="CD8" s="53">
        <f>IF(AM8="",VLOOKUP($M8,'HU-MOD-2-Parameters_CROP'!$A$4:$AE$151,10,),AM8)</f>
        <v>0.46</v>
      </c>
      <c r="CE8" s="53">
        <f>IF(AN8="",VLOOKUP($M8,'HU-MOD-2-Parameters_CROP'!$A$4:$AE$151,11,),AN8)</f>
        <v>2.86E-2</v>
      </c>
      <c r="CF8" s="53">
        <f>IF(AF8="",$AB8*VLOOKUP($M8,'HU-MOD-2-Parameters_CROP'!$A$4:$AE$201,12,),AF8)</f>
        <v>0</v>
      </c>
      <c r="CG8" s="53">
        <f>IF(AO8="",VLOOKUP($M8,'HU-MOD-2-Parameters_CROP'!$A$4:$AE$151,13,),AO8)</f>
        <v>0</v>
      </c>
      <c r="CH8" s="53">
        <f>IF(AP8="",VLOOKUP($M8,'HU-MOD-2-Parameters_CROP'!$A$4:$AE$151,14,),AP8)</f>
        <v>0</v>
      </c>
      <c r="CI8" s="53">
        <f>IF(AQ8="",VLOOKUP($M8,'HU-MOD-2-Parameters_CROP'!$A$4:$AE$151,15,),AQ8)</f>
        <v>0</v>
      </c>
      <c r="CJ8" s="53">
        <f>IF(AG8="",$AB8*VLOOKUP($M8,'HU-MOD-2-Parameters_CROP'!$A$4:$AE$201,16,),AG8)</f>
        <v>2</v>
      </c>
      <c r="CK8" s="53">
        <f>IF(AR8="",VLOOKUP($M8,'HU-MOD-2-Parameters_CROP'!$A$4:$AE$151,17,),AR8)</f>
        <v>0</v>
      </c>
      <c r="CL8" s="53">
        <f>IF(AS8="",VLOOKUP($M8,'HU-MOD-2-Parameters_CROP'!$A$4:$AE$151,18,),AS8)</f>
        <v>0.46</v>
      </c>
      <c r="CM8" s="53">
        <f>IF(AT8="",VLOOKUP($M8,'HU-MOD-2-Parameters_CROP'!$A$4:$AE$151,19,),AT8)</f>
        <v>2.86E-2</v>
      </c>
      <c r="CN8" s="53">
        <f>IF(AH8="",$AB8*BY8*VLOOKUP($M8,'HU-MOD-2-Parameters_CROP'!$A$4:$AE$201,20,),AH8)</f>
        <v>2</v>
      </c>
      <c r="CO8" s="53">
        <f>IF(AU8="",VLOOKUP($M8,'HU-MOD-2-Parameters_CROP'!$A$4:$AE$151,21,),AU8)</f>
        <v>1</v>
      </c>
      <c r="CP8" s="53">
        <f>IF(AV8="",VLOOKUP($M8,'HU-MOD-2-Parameters_CROP'!$A$4:$AE$151,22,),AV8)</f>
        <v>0.4</v>
      </c>
      <c r="CQ8" s="53">
        <f>IF(AW8="",VLOOKUP($M8,'HU-MOD-2-Parameters_CROP'!$A$4:$AE$151,23,),AW8)</f>
        <v>2.0400000000000001E-2</v>
      </c>
      <c r="CR8" s="53">
        <f>IF(AX8="",VLOOKUP($Q8,'HU-MOD-2-Parameters_FTLZ'!$A$4:$I$109,5,),AX8)</f>
        <v>0</v>
      </c>
      <c r="CS8" s="53">
        <f>IF(AY8="",VLOOKUP($Q8,'HU-MOD-2-Parameters_FTLZ'!$A$4:$I$109,6,),AY8)</f>
        <v>0</v>
      </c>
      <c r="CT8" s="53">
        <f>IF(AZ8="",VLOOKUP($Q8,'HU-MOD-2-Parameters_FTLZ'!$A$4:$I$109,7,),AZ8)</f>
        <v>0</v>
      </c>
      <c r="CU8" s="53">
        <f t="shared" si="13"/>
        <v>0</v>
      </c>
      <c r="CV8" s="53">
        <f>IF(BA8="",VLOOKUP($U8,'HU-MOD-2-Parameters_FTLZ'!$A$4:$I$109,5,),BA8)</f>
        <v>0</v>
      </c>
      <c r="CW8" s="53">
        <f>IF(BB8="",VLOOKUP($U8,'HU-MOD-2-Parameters_FTLZ'!$A$4:$I$109,6,),BB8)</f>
        <v>0</v>
      </c>
      <c r="CX8" s="53">
        <f>IF(BC8="",VLOOKUP($U8,'HU-MOD-2-Parameters_FTLZ'!$A$4:$I$109,7,),BC8)</f>
        <v>0</v>
      </c>
      <c r="CY8" s="53">
        <f>IF(CV8=0,0,IF(W8=1,1000*V8*CV8*CX8*(1.6674*POWER(CW8/CX8,-0.768))*DM8,1000*V8*CV8*CX8*(1.6674*POWER(CW8/CX8,-0.768))*DL8))</f>
        <v>0</v>
      </c>
      <c r="CZ8" s="53">
        <f t="shared" si="14"/>
        <v>0</v>
      </c>
      <c r="DA8" s="53">
        <f t="shared" si="15"/>
        <v>0</v>
      </c>
      <c r="DB8" s="53">
        <f t="shared" si="16"/>
        <v>0</v>
      </c>
      <c r="DC8" s="53">
        <f t="shared" si="17"/>
        <v>0</v>
      </c>
      <c r="DD8" s="53"/>
      <c r="DE8" s="53">
        <f>IF(N8="",VLOOKUP(M8,'HU-MOD-2-Parameters_CROP'!$A$4:$AE$151,24,),N8)</f>
        <v>0.7</v>
      </c>
      <c r="DF8" s="53">
        <f>IF(BG8="",VLOOKUP(M8,'HU-MOD-2-Parameters_CROP'!$A$4:$AE$151,25,),BG8)</f>
        <v>0.85</v>
      </c>
      <c r="DG8" s="53">
        <f>IF(BH8="",VLOOKUP(M8,'HU-MOD-2-Parameters_CROP'!$A$4:$AE$151,26,),BH8)</f>
        <v>0</v>
      </c>
      <c r="DH8" s="53">
        <v>1</v>
      </c>
      <c r="DI8" s="53">
        <f t="shared" si="18"/>
        <v>0.42331874316212093</v>
      </c>
      <c r="DJ8" s="53">
        <v>0.6</v>
      </c>
      <c r="DK8" s="29"/>
      <c r="DL8" s="29"/>
      <c r="DM8" s="29"/>
      <c r="DN8" s="29"/>
      <c r="DO8" s="29"/>
      <c r="DP8" s="29"/>
      <c r="DQ8" s="29"/>
      <c r="DR8" s="29"/>
      <c r="DS8" s="22"/>
      <c r="DT8" s="22"/>
      <c r="DU8" s="22"/>
      <c r="DV8" s="22"/>
    </row>
    <row r="9" spans="1:126" x14ac:dyDescent="0.25">
      <c r="A9" s="43" t="s">
        <v>444</v>
      </c>
      <c r="B9" s="43" t="s">
        <v>445</v>
      </c>
      <c r="E9" s="43">
        <v>10</v>
      </c>
      <c r="F9" s="43">
        <v>0.4</v>
      </c>
      <c r="G9" s="43">
        <v>650</v>
      </c>
      <c r="H9" s="43">
        <v>0.5</v>
      </c>
      <c r="I9" s="43">
        <v>20</v>
      </c>
      <c r="J9" s="43">
        <v>2001</v>
      </c>
      <c r="K9" s="61">
        <v>4</v>
      </c>
      <c r="L9" s="61" t="s">
        <v>440</v>
      </c>
      <c r="M9" s="48">
        <v>1050</v>
      </c>
      <c r="N9" s="63">
        <v>0.6</v>
      </c>
      <c r="O9" s="61">
        <v>0</v>
      </c>
      <c r="P9" s="61"/>
      <c r="Q9" s="61"/>
      <c r="R9" s="61"/>
      <c r="S9" s="61"/>
      <c r="T9" s="61"/>
      <c r="U9" s="61"/>
      <c r="V9" s="61"/>
      <c r="W9" s="61"/>
      <c r="X9" s="61"/>
      <c r="Y9" s="61"/>
      <c r="Z9" s="61"/>
      <c r="AA9" s="61"/>
      <c r="AB9" s="43">
        <v>8</v>
      </c>
      <c r="AC9" s="43" t="s">
        <v>250</v>
      </c>
      <c r="BH9" s="61"/>
      <c r="BI9" s="22">
        <f t="shared" si="0"/>
        <v>384.15999999999997</v>
      </c>
      <c r="BJ9" s="22">
        <f t="shared" si="1"/>
        <v>326.39999999999998</v>
      </c>
      <c r="BK9" s="72">
        <f t="shared" si="2"/>
        <v>-57.759999999999991</v>
      </c>
      <c r="BL9" s="72">
        <f t="shared" si="3"/>
        <v>-5.7759999999999989</v>
      </c>
      <c r="BM9" s="66" t="str">
        <f t="shared" si="19"/>
        <v/>
      </c>
      <c r="BN9" s="66" t="str">
        <f t="shared" si="20"/>
        <v/>
      </c>
      <c r="BO9" s="23">
        <f t="shared" si="5"/>
        <v>78.399999999999991</v>
      </c>
      <c r="BP9" s="23">
        <f t="shared" si="6"/>
        <v>31.517625136757577</v>
      </c>
      <c r="BQ9" s="23">
        <f>IF(BO9*DJ9&gt;CU9+CY9+DA9+DC9+O9,CU9+CY9+DA9+DC9+O9,BO9*DJ9)</f>
        <v>0</v>
      </c>
      <c r="BR9" s="24">
        <f t="shared" si="7"/>
        <v>8.4663748632424181</v>
      </c>
      <c r="BS9" s="71">
        <f t="shared" si="8"/>
        <v>0</v>
      </c>
      <c r="BT9" s="68">
        <f t="shared" si="9"/>
        <v>640.00000000000011</v>
      </c>
      <c r="BU9" s="68">
        <f t="shared" si="10"/>
        <v>0</v>
      </c>
      <c r="BV9" s="25">
        <f t="shared" si="11"/>
        <v>32.64</v>
      </c>
      <c r="BW9" s="26">
        <f t="shared" si="12"/>
        <v>0</v>
      </c>
      <c r="BX9" s="27"/>
      <c r="BY9" s="53">
        <f>IF(AI9="",VLOOKUP($M9,'HU-MOD-2-Parameters_CROP'!$A$4:$AE$151,5,),AI9)</f>
        <v>0.2</v>
      </c>
      <c r="BZ9" s="53">
        <f>IF(AJ9="",VLOOKUP($M9,'HU-MOD-2-Parameters_CROP'!$A$4:$AE$151,6,),AJ9)</f>
        <v>0.46</v>
      </c>
      <c r="CA9" s="53">
        <f>IF(AK9="",VLOOKUP($M9,'HU-MOD-2-Parameters_CROP'!$A$4:$AE$151,7,),AK9)</f>
        <v>2.86E-2</v>
      </c>
      <c r="CB9" s="53">
        <f>IF(AD9="",$AB9*VLOOKUP($M9,'HU-MOD-2-Parameters_CROP'!$A$4:$AE$201,8,),AD9)</f>
        <v>0</v>
      </c>
      <c r="CC9" s="53">
        <f>IF(AL9="",VLOOKUP($M9,'HU-MOD-2-Parameters_CROP'!$A$4:$AE$151,9,),AL9)</f>
        <v>0</v>
      </c>
      <c r="CD9" s="53">
        <f>IF(AM9="",VLOOKUP($M9,'HU-MOD-2-Parameters_CROP'!$A$4:$AE$151,10,),AM9)</f>
        <v>0.46</v>
      </c>
      <c r="CE9" s="53">
        <f>IF(AN9="",VLOOKUP($M9,'HU-MOD-2-Parameters_CROP'!$A$4:$AE$151,11,),AN9)</f>
        <v>2.86E-2</v>
      </c>
      <c r="CF9" s="53">
        <f>IF(AF9="",$AB9*VLOOKUP($M9,'HU-MOD-2-Parameters_CROP'!$A$4:$AE$201,12,),AF9)</f>
        <v>0</v>
      </c>
      <c r="CG9" s="53">
        <f>IF(AO9="",VLOOKUP($M9,'HU-MOD-2-Parameters_CROP'!$A$4:$AE$151,13,),AO9)</f>
        <v>0</v>
      </c>
      <c r="CH9" s="53">
        <f>IF(AP9="",VLOOKUP($M9,'HU-MOD-2-Parameters_CROP'!$A$4:$AE$151,14,),AP9)</f>
        <v>0</v>
      </c>
      <c r="CI9" s="53">
        <f>IF(AQ9="",VLOOKUP($M9,'HU-MOD-2-Parameters_CROP'!$A$4:$AE$151,15,),AQ9)</f>
        <v>0</v>
      </c>
      <c r="CJ9" s="53">
        <f>IF(AG9="",$AB9*VLOOKUP($M9,'HU-MOD-2-Parameters_CROP'!$A$4:$AE$201,16,),AG9)</f>
        <v>1.6</v>
      </c>
      <c r="CK9" s="53">
        <f>IF(AR9="",VLOOKUP($M9,'HU-MOD-2-Parameters_CROP'!$A$4:$AE$151,17,),AR9)</f>
        <v>0</v>
      </c>
      <c r="CL9" s="53">
        <f>IF(AS9="",VLOOKUP($M9,'HU-MOD-2-Parameters_CROP'!$A$4:$AE$151,18,),AS9)</f>
        <v>0.46</v>
      </c>
      <c r="CM9" s="53">
        <f>IF(AT9="",VLOOKUP($M9,'HU-MOD-2-Parameters_CROP'!$A$4:$AE$151,19,),AT9)</f>
        <v>2.86E-2</v>
      </c>
      <c r="CN9" s="53">
        <f>IF(AH9="",$AB9*BY9*VLOOKUP($M9,'HU-MOD-2-Parameters_CROP'!$A$4:$AE$201,20,),AH9)</f>
        <v>1.6</v>
      </c>
      <c r="CO9" s="53">
        <f>IF(AU9="",VLOOKUP($M9,'HU-MOD-2-Parameters_CROP'!$A$4:$AE$151,21,),AU9)</f>
        <v>1</v>
      </c>
      <c r="CP9" s="53">
        <f>IF(AV9="",VLOOKUP($M9,'HU-MOD-2-Parameters_CROP'!$A$4:$AE$151,22,),AV9)</f>
        <v>0.4</v>
      </c>
      <c r="CQ9" s="53">
        <f>IF(AW9="",VLOOKUP($M9,'HU-MOD-2-Parameters_CROP'!$A$4:$AE$151,23,),AW9)</f>
        <v>2.0400000000000001E-2</v>
      </c>
      <c r="CR9" s="53">
        <f>IF(AX9="",VLOOKUP($Q9,'HU-MOD-2-Parameters_FTLZ'!$A$4:$I$109,5,),AX9)</f>
        <v>0</v>
      </c>
      <c r="CS9" s="53">
        <f>IF(AY9="",VLOOKUP($Q9,'HU-MOD-2-Parameters_FTLZ'!$A$4:$I$109,6,),AY9)</f>
        <v>0</v>
      </c>
      <c r="CT9" s="53">
        <f>IF(AZ9="",VLOOKUP($Q9,'HU-MOD-2-Parameters_FTLZ'!$A$4:$I$109,7,),AZ9)</f>
        <v>0</v>
      </c>
      <c r="CU9" s="53">
        <f t="shared" si="13"/>
        <v>0</v>
      </c>
      <c r="CV9" s="53">
        <f>IF(BA9="",VLOOKUP($U9,'HU-MOD-2-Parameters_FTLZ'!$A$4:$I$109,5,),BA9)</f>
        <v>0</v>
      </c>
      <c r="CW9" s="53">
        <f>IF(BB9="",VLOOKUP($U9,'HU-MOD-2-Parameters_FTLZ'!$A$4:$I$109,6,),BB9)</f>
        <v>0</v>
      </c>
      <c r="CX9" s="53">
        <f>IF(BC9="",VLOOKUP($U9,'HU-MOD-2-Parameters_FTLZ'!$A$4:$I$109,7,),BC9)</f>
        <v>0</v>
      </c>
      <c r="CY9" s="53">
        <f>IF(CV9=0,0,IF(W9=1,1000*V9*CV9*CX9*(1.6674*POWER(CW9/CX9,-0.768))*DM9,1000*V9*CV9*CX9*(1.6674*POWER(CW9/CX9,-0.768))*DL9))</f>
        <v>0</v>
      </c>
      <c r="CZ9" s="53">
        <f t="shared" si="14"/>
        <v>0</v>
      </c>
      <c r="DA9" s="53">
        <f t="shared" si="15"/>
        <v>0</v>
      </c>
      <c r="DB9" s="53">
        <f t="shared" si="16"/>
        <v>0</v>
      </c>
      <c r="DC9" s="53">
        <f t="shared" si="17"/>
        <v>0</v>
      </c>
      <c r="DD9" s="53"/>
      <c r="DE9" s="53">
        <f>IF(N9="",VLOOKUP(M9,'HU-MOD-2-Parameters_CROP'!$A$4:$AE$151,24,),N9)</f>
        <v>0.6</v>
      </c>
      <c r="DF9" s="53">
        <f>IF(BG9="",VLOOKUP(M9,'HU-MOD-2-Parameters_CROP'!$A$4:$AE$151,25,),BG9)</f>
        <v>0.85</v>
      </c>
      <c r="DG9" s="53">
        <f>IF(BH9="",VLOOKUP(M9,'HU-MOD-2-Parameters_CROP'!$A$4:$AE$151,26,),BH9)</f>
        <v>0</v>
      </c>
      <c r="DH9" s="53">
        <v>1</v>
      </c>
      <c r="DI9" s="53">
        <f t="shared" si="18"/>
        <v>0.42331874316212093</v>
      </c>
      <c r="DJ9" s="53">
        <v>0.6</v>
      </c>
      <c r="DK9" s="29"/>
      <c r="DL9" s="29"/>
      <c r="DM9" s="29"/>
      <c r="DN9" s="29"/>
      <c r="DO9" s="29"/>
      <c r="DP9" s="29"/>
      <c r="DQ9" s="29"/>
      <c r="DR9" s="29"/>
      <c r="DS9" s="22"/>
      <c r="DT9" s="22"/>
      <c r="DU9" s="22"/>
      <c r="DV9" s="22"/>
    </row>
    <row r="10" spans="1:126" x14ac:dyDescent="0.25">
      <c r="A10" s="43" t="s">
        <v>444</v>
      </c>
      <c r="B10" s="43" t="s">
        <v>445</v>
      </c>
      <c r="E10" s="43">
        <v>10</v>
      </c>
      <c r="F10" s="43">
        <v>0.4</v>
      </c>
      <c r="G10" s="43">
        <v>650</v>
      </c>
      <c r="H10" s="43">
        <v>0.5</v>
      </c>
      <c r="I10" s="43">
        <v>20</v>
      </c>
      <c r="J10" s="43">
        <v>2002</v>
      </c>
      <c r="K10" s="7">
        <v>1</v>
      </c>
      <c r="L10" s="61" t="s">
        <v>66</v>
      </c>
      <c r="M10" s="48">
        <v>1001</v>
      </c>
      <c r="N10" s="63">
        <v>0</v>
      </c>
      <c r="O10" s="61">
        <v>0</v>
      </c>
      <c r="AB10" s="43">
        <v>6.5</v>
      </c>
      <c r="AC10" s="43" t="s">
        <v>34</v>
      </c>
      <c r="AE10" s="43" t="s">
        <v>250</v>
      </c>
      <c r="BI10" s="22">
        <f t="shared" si="0"/>
        <v>1509.7937850678177</v>
      </c>
      <c r="BJ10" s="22">
        <f t="shared" si="1"/>
        <v>689.00952747059387</v>
      </c>
      <c r="BK10" s="22">
        <f t="shared" si="2"/>
        <v>-820.78425759722381</v>
      </c>
      <c r="BL10" s="22">
        <f t="shared" si="3"/>
        <v>-82.078425759722379</v>
      </c>
      <c r="BM10" s="72">
        <f t="shared" si="19"/>
        <v>-580.11341182569652</v>
      </c>
      <c r="BN10" s="72">
        <f t="shared" si="20"/>
        <v>-58.011341182569652</v>
      </c>
      <c r="BO10" s="23">
        <f t="shared" si="5"/>
        <v>168.48260000000002</v>
      </c>
      <c r="BP10" s="23">
        <f t="shared" si="6"/>
        <v>0</v>
      </c>
      <c r="BQ10" s="23">
        <f>IF(BO10*DJ10&gt;CU10+CY10+DA10+DC10+O10*DI10,CU10+CY10+DA10+DC10+O10*DI10,BO10*DJ10)</f>
        <v>9.0368466299758587</v>
      </c>
      <c r="BR10" s="24">
        <f t="shared" si="7"/>
        <v>8.4663748632424181</v>
      </c>
      <c r="BS10" s="24">
        <f t="shared" si="8"/>
        <v>0</v>
      </c>
      <c r="BT10" s="68">
        <f t="shared" si="9"/>
        <v>1632.2800000000002</v>
      </c>
      <c r="BU10" s="68">
        <f t="shared" si="10"/>
        <v>736.00000000000011</v>
      </c>
      <c r="BV10" s="25">
        <f t="shared" si="11"/>
        <v>30.130099999999999</v>
      </c>
      <c r="BW10" s="26">
        <f t="shared" si="12"/>
        <v>38.770852747059394</v>
      </c>
      <c r="BX10" s="27"/>
      <c r="BY10" s="28">
        <f>IF(AI10="",VLOOKUP($M10,'HU-MOD-2-Parameters_CROP'!$A$4:$AE$151,5,),AI10)</f>
        <v>0.86</v>
      </c>
      <c r="BZ10" s="28">
        <f>IF(AJ10="",VLOOKUP($M10,'HU-MOD-2-Parameters_CROP'!$A$4:$AE$151,6,),AJ10)</f>
        <v>0.44500000000000001</v>
      </c>
      <c r="CA10" s="28">
        <f>IF(AK10="",VLOOKUP($M10,'HU-MOD-2-Parameters_CROP'!$A$4:$AE$151,7,),AK10)</f>
        <v>1.9800000000000002E-2</v>
      </c>
      <c r="CB10" s="28">
        <f>IF(AD10="",$AB10*VLOOKUP($M10,'HU-MOD-2-Parameters_CROP'!$A$4:$AE$201,8,),AD10)</f>
        <v>6.5</v>
      </c>
      <c r="CC10" s="28">
        <f>IF(AL10="",VLOOKUP($M10,'HU-MOD-2-Parameters_CROP'!$A$4:$AE$151,9,),AL10)</f>
        <v>0.86</v>
      </c>
      <c r="CD10" s="28">
        <f>IF(AM10="",VLOOKUP($M10,'HU-MOD-2-Parameters_CROP'!$A$4:$AE$151,10,),AM10)</f>
        <v>0.46</v>
      </c>
      <c r="CE10" s="28">
        <f>IF(AN10="",VLOOKUP($M10,'HU-MOD-2-Parameters_CROP'!$A$4:$AE$151,11,),AN10)</f>
        <v>4.9500000000000004E-3</v>
      </c>
      <c r="CF10" s="28">
        <f>IF(AF10="",$AB10*VLOOKUP($M10,'HU-MOD-2-Parameters_CROP'!$A$4:$AE$201,12,),AF10)</f>
        <v>0</v>
      </c>
      <c r="CG10" s="28">
        <f>IF(AO10="",VLOOKUP($M10,'HU-MOD-2-Parameters_CROP'!$A$4:$AE$151,13,),AO10)</f>
        <v>0</v>
      </c>
      <c r="CH10" s="28">
        <f>IF(AP10="",VLOOKUP($M10,'HU-MOD-2-Parameters_CROP'!$A$4:$AE$151,14,),AP10)</f>
        <v>0</v>
      </c>
      <c r="CI10" s="28">
        <f>IF(AQ10="",VLOOKUP($M10,'HU-MOD-2-Parameters_CROP'!$A$4:$AE$151,15,),AQ10)</f>
        <v>0</v>
      </c>
      <c r="CJ10" s="28">
        <f>IF(AG10="",$AB10*VLOOKUP($M10,'HU-MOD-2-Parameters_CROP'!$A$4:$AE$201,16,),AG10)</f>
        <v>1.3</v>
      </c>
      <c r="CK10" s="28">
        <f>IF(AR10="",VLOOKUP($M10,'HU-MOD-2-Parameters_CROP'!$A$4:$AE$151,17,),AR10)</f>
        <v>0.86</v>
      </c>
      <c r="CL10" s="28">
        <f>IF(AS10="",VLOOKUP($M10,'HU-MOD-2-Parameters_CROP'!$A$4:$AE$151,18,),AS10)</f>
        <v>0.46</v>
      </c>
      <c r="CM10" s="28">
        <f>IF(AT10="",VLOOKUP($M10,'HU-MOD-2-Parameters_CROP'!$A$4:$AE$151,19,),AT10)</f>
        <v>4.9500000000000004E-3</v>
      </c>
      <c r="CN10" s="28">
        <f>IF(AH10="",$AB10*BY10*VLOOKUP($M10,'HU-MOD-2-Parameters_CROP'!$A$4:$AE$201,20,),AH10)</f>
        <v>2.7949999999999999</v>
      </c>
      <c r="CO10" s="28">
        <f>IF(AU10="",VLOOKUP($M10,'HU-MOD-2-Parameters_CROP'!$A$4:$AE$151,21,),AU10)</f>
        <v>1</v>
      </c>
      <c r="CP10" s="28">
        <f>IF(AV10="",VLOOKUP($M10,'HU-MOD-2-Parameters_CROP'!$A$4:$AE$151,22,),AV10)</f>
        <v>0.4</v>
      </c>
      <c r="CQ10" s="28">
        <f>IF(AW10="",VLOOKUP($M10,'HU-MOD-2-Parameters_CROP'!$A$4:$AE$151,23,),AW10)</f>
        <v>8.8000000000000005E-3</v>
      </c>
      <c r="CR10" s="28">
        <f>IF(AX10="",VLOOKUP($Q10,'HU-MOD-2-Parameters_FTLZ'!$A$4:$I$109,5,),AX10)</f>
        <v>0</v>
      </c>
      <c r="CS10" s="28">
        <f>IF(AY10="",VLOOKUP($Q10,'HU-MOD-2-Parameters_FTLZ'!$A$4:$I$109,6,),AY10)</f>
        <v>0</v>
      </c>
      <c r="CT10" s="28">
        <f>IF(AZ10="",VLOOKUP($Q10,'HU-MOD-2-Parameters_FTLZ'!$A$4:$I$109,7,),AZ10)</f>
        <v>0</v>
      </c>
      <c r="CU10" s="28">
        <f t="shared" si="13"/>
        <v>0</v>
      </c>
      <c r="CV10" s="28">
        <f>IF(BA10="",VLOOKUP($U10,'HU-MOD-2-Parameters_FTLZ'!$A$4:$I$109,5,),BA10)</f>
        <v>0</v>
      </c>
      <c r="CW10" s="28">
        <f>IF(BB10="",VLOOKUP($U10,'HU-MOD-2-Parameters_FTLZ'!$A$4:$I$109,6,),BB10)</f>
        <v>0</v>
      </c>
      <c r="CX10" s="28">
        <f>IF(BC10="",VLOOKUP($U10,'HU-MOD-2-Parameters_FTLZ'!$A$4:$I$109,7,),BC10)</f>
        <v>0</v>
      </c>
      <c r="CY10" s="28">
        <f>IF(CV10=0,0,IF(W10=1,1000*V10*CV10*CX10*(1.6674*POWER(CW10/CX10,-0.768))*DI10,1000*V10*CV10*CX10*(1.6674*POWER(CW10/CX10,-0.768))*DH10))</f>
        <v>0</v>
      </c>
      <c r="CZ10" s="28">
        <f t="shared" si="14"/>
        <v>8</v>
      </c>
      <c r="DA10" s="28">
        <f t="shared" si="15"/>
        <v>9.0368466299758587</v>
      </c>
      <c r="DB10" s="28">
        <f t="shared" si="16"/>
        <v>0</v>
      </c>
      <c r="DC10" s="28">
        <f t="shared" si="17"/>
        <v>0</v>
      </c>
      <c r="DD10" s="28"/>
      <c r="DE10" s="28">
        <f>IF(N10="",VLOOKUP(M10,'HU-MOD-2-Parameters_CROP'!$A$4:$AE$151,24,),N10)</f>
        <v>0</v>
      </c>
      <c r="DF10" s="28">
        <f>IF(BG10="",VLOOKUP(M10,'HU-MOD-2-Parameters_CROP'!$A$4:$AE$151,25,),BG10)</f>
        <v>0</v>
      </c>
      <c r="DG10" s="28">
        <f>IF(BH10="",VLOOKUP(M10,'HU-MOD-2-Parameters_CROP'!$A$4:$AE$151,26,),BH10)</f>
        <v>0</v>
      </c>
      <c r="DH10" s="28">
        <v>1</v>
      </c>
      <c r="DI10" s="28">
        <f t="shared" si="18"/>
        <v>0.42331874316212093</v>
      </c>
      <c r="DJ10" s="28">
        <v>0.6</v>
      </c>
      <c r="DK10" s="29"/>
      <c r="DL10" s="29"/>
      <c r="DM10" s="29"/>
      <c r="DN10" s="29"/>
      <c r="DO10" s="29"/>
      <c r="DP10" s="29"/>
      <c r="DQ10" s="29"/>
      <c r="DR10" s="29"/>
      <c r="DS10" s="22"/>
      <c r="DT10" s="22"/>
      <c r="DU10" s="22"/>
      <c r="DV10" s="22"/>
    </row>
    <row r="11" spans="1:126" x14ac:dyDescent="0.25">
      <c r="A11" s="43" t="s">
        <v>444</v>
      </c>
      <c r="B11" s="43" t="s">
        <v>445</v>
      </c>
      <c r="E11" s="43">
        <v>10</v>
      </c>
      <c r="F11" s="43">
        <v>0.4</v>
      </c>
      <c r="G11" s="43">
        <v>650</v>
      </c>
      <c r="H11" s="43">
        <v>0.5</v>
      </c>
      <c r="I11" s="43">
        <v>20</v>
      </c>
      <c r="J11" s="43">
        <v>2002</v>
      </c>
      <c r="K11" s="7">
        <v>1</v>
      </c>
      <c r="L11" s="61" t="s">
        <v>441</v>
      </c>
      <c r="M11" s="48">
        <v>1070</v>
      </c>
      <c r="N11" s="63">
        <v>0</v>
      </c>
      <c r="O11" s="61">
        <v>0</v>
      </c>
      <c r="P11" s="7" t="s">
        <v>443</v>
      </c>
      <c r="Q11" s="7">
        <v>1000</v>
      </c>
      <c r="R11" s="7">
        <v>15</v>
      </c>
      <c r="S11" s="7">
        <v>1</v>
      </c>
      <c r="AB11" s="43">
        <v>10</v>
      </c>
      <c r="AC11" s="43" t="s">
        <v>250</v>
      </c>
      <c r="BI11" s="22">
        <f t="shared" si="0"/>
        <v>667.04672757628384</v>
      </c>
      <c r="BJ11" s="22">
        <f t="shared" si="1"/>
        <v>907.71757334781114</v>
      </c>
      <c r="BK11" s="22">
        <f t="shared" si="2"/>
        <v>240.6708457715273</v>
      </c>
      <c r="BL11" s="22">
        <f t="shared" si="3"/>
        <v>24.06708457715273</v>
      </c>
      <c r="BM11" s="72" t="str">
        <f t="shared" si="19"/>
        <v/>
      </c>
      <c r="BN11" s="72" t="str">
        <f t="shared" si="20"/>
        <v/>
      </c>
      <c r="BO11" s="23">
        <f t="shared" si="5"/>
        <v>85.17647058823529</v>
      </c>
      <c r="BP11" s="23">
        <f t="shared" si="6"/>
        <v>0</v>
      </c>
      <c r="BQ11" s="23">
        <f>IF(BO11*DJ11&gt;CU11+CY11+DA11+DC11+O11*DI11,CU11+CY11+DA11+DC11+O11*DI11,BO11*DJ11)</f>
        <v>10.005422967364487</v>
      </c>
      <c r="BR11" s="24">
        <f t="shared" si="7"/>
        <v>8.4663748632424181</v>
      </c>
      <c r="BS11" s="24">
        <f t="shared" si="8"/>
        <v>0</v>
      </c>
      <c r="BT11" s="68">
        <f t="shared" si="9"/>
        <v>470.58823529411757</v>
      </c>
      <c r="BU11" s="68">
        <f t="shared" si="10"/>
        <v>3043.9</v>
      </c>
      <c r="BV11" s="25">
        <f t="shared" si="11"/>
        <v>25.17647058823529</v>
      </c>
      <c r="BW11" s="26">
        <f t="shared" si="12"/>
        <v>65.595286746545824</v>
      </c>
      <c r="BX11" s="27"/>
      <c r="BY11" s="28">
        <f>IF(AI11="",VLOOKUP($M11,'HU-MOD-2-Parameters_CROP'!$A$4:$AE$151,5,),AI11)</f>
        <v>0.2</v>
      </c>
      <c r="BZ11" s="28">
        <f>IF(AJ11="",VLOOKUP($M11,'HU-MOD-2-Parameters_CROP'!$A$4:$AE$151,6,),AJ11)</f>
        <v>0.46</v>
      </c>
      <c r="CA11" s="28">
        <f>IF(AK11="",VLOOKUP($M11,'HU-MOD-2-Parameters_CROP'!$A$4:$AE$151,7,),AK11)</f>
        <v>0.03</v>
      </c>
      <c r="CB11" s="28">
        <f>IF(AD11="",$AB11*VLOOKUP($M11,'HU-MOD-2-Parameters_CROP'!$A$4:$AE$201,8,),AD11)</f>
        <v>0</v>
      </c>
      <c r="CC11" s="28">
        <f>IF(AL11="",VLOOKUP($M11,'HU-MOD-2-Parameters_CROP'!$A$4:$AE$151,9,),AL11)</f>
        <v>0</v>
      </c>
      <c r="CD11" s="28">
        <f>IF(AM11="",VLOOKUP($M11,'HU-MOD-2-Parameters_CROP'!$A$4:$AE$151,10,),AM11)</f>
        <v>0.46</v>
      </c>
      <c r="CE11" s="28">
        <f>IF(AN11="",VLOOKUP($M11,'HU-MOD-2-Parameters_CROP'!$A$4:$AE$151,11,),AN11)</f>
        <v>0.03</v>
      </c>
      <c r="CF11" s="28">
        <f>IF(AF11="",$AB11*VLOOKUP($M11,'HU-MOD-2-Parameters_CROP'!$A$4:$AE$201,12,),AF11)</f>
        <v>0</v>
      </c>
      <c r="CG11" s="28">
        <f>IF(AO11="",VLOOKUP($M11,'HU-MOD-2-Parameters_CROP'!$A$4:$AE$151,13,),AO11)</f>
        <v>0</v>
      </c>
      <c r="CH11" s="28">
        <f>IF(AP11="",VLOOKUP($M11,'HU-MOD-2-Parameters_CROP'!$A$4:$AE$151,14,),AP11)</f>
        <v>0</v>
      </c>
      <c r="CI11" s="28">
        <f>IF(AQ11="",VLOOKUP($M11,'HU-MOD-2-Parameters_CROP'!$A$4:$AE$151,15,),AQ11)</f>
        <v>0</v>
      </c>
      <c r="CJ11" s="28">
        <f>IF(AG11="",$AB11*VLOOKUP($M11,'HU-MOD-2-Parameters_CROP'!$A$4:$AE$201,16,),AG11)</f>
        <v>2.3529411764705896</v>
      </c>
      <c r="CK11" s="28">
        <f>IF(AR11="",VLOOKUP($M11,'HU-MOD-2-Parameters_CROP'!$A$4:$AE$151,17,),AR11)</f>
        <v>0</v>
      </c>
      <c r="CL11" s="28">
        <f>IF(AS11="",VLOOKUP($M11,'HU-MOD-2-Parameters_CROP'!$A$4:$AE$151,18,),AS11)</f>
        <v>0.46</v>
      </c>
      <c r="CM11" s="28">
        <f>IF(AT11="",VLOOKUP($M11,'HU-MOD-2-Parameters_CROP'!$A$4:$AE$151,19,),AT11)</f>
        <v>0.03</v>
      </c>
      <c r="CN11" s="28">
        <f>IF(AH11="",$AB11*BY11*VLOOKUP($M11,'HU-MOD-2-Parameters_CROP'!$A$4:$AE$201,20,),AH11)</f>
        <v>1.1764705882352939</v>
      </c>
      <c r="CO11" s="28">
        <f>IF(AU11="",VLOOKUP($M11,'HU-MOD-2-Parameters_CROP'!$A$4:$AE$151,21,),AU11)</f>
        <v>1</v>
      </c>
      <c r="CP11" s="28">
        <f>IF(AV11="",VLOOKUP($M11,'HU-MOD-2-Parameters_CROP'!$A$4:$AE$151,22,),AV11)</f>
        <v>0.4</v>
      </c>
      <c r="CQ11" s="28">
        <f>IF(AW11="",VLOOKUP($M11,'HU-MOD-2-Parameters_CROP'!$A$4:$AE$151,23,),AW11)</f>
        <v>2.1399999999999999E-2</v>
      </c>
      <c r="CR11" s="28">
        <f>IF(AX11="",VLOOKUP($Q11,'HU-MOD-2-Parameters_FTLZ'!$A$4:$I$109,5,),AX11)</f>
        <v>7.4999999999999997E-2</v>
      </c>
      <c r="CS11" s="28">
        <f>IF(AY11="",VLOOKUP($Q11,'HU-MOD-2-Parameters_FTLZ'!$A$4:$I$109,6,),AY11)</f>
        <v>0.42</v>
      </c>
      <c r="CT11" s="28">
        <f>IF(AZ11="",VLOOKUP($Q11,'HU-MOD-2-Parameters_FTLZ'!$A$4:$I$109,7,),AZ11)</f>
        <v>5.2999999999999999E-2</v>
      </c>
      <c r="CU11" s="28">
        <f t="shared" si="13"/>
        <v>8.5846797806432349</v>
      </c>
      <c r="CV11" s="28">
        <f>IF(BA11="",VLOOKUP($U11,'HU-MOD-2-Parameters_FTLZ'!$A$4:$I$109,5,),BA11)</f>
        <v>0</v>
      </c>
      <c r="CW11" s="28">
        <f>IF(BB11="",VLOOKUP($U11,'HU-MOD-2-Parameters_FTLZ'!$A$4:$I$109,6,),BB11)</f>
        <v>0</v>
      </c>
      <c r="CX11" s="28">
        <f>IF(BC11="",VLOOKUP($U11,'HU-MOD-2-Parameters_FTLZ'!$A$4:$I$109,7,),BC11)</f>
        <v>0</v>
      </c>
      <c r="CY11" s="28">
        <f>IF(CV11=0,0,IF(W11=1,1000*V11*CV11*CX11*(1.6674*POWER(CW11/CX11,-0.768))*DI11,1000*V11*CV11*CX11*(1.6674*POWER(CW11/CX11,-0.768))*DH11))</f>
        <v>0</v>
      </c>
      <c r="CZ11" s="28">
        <f t="shared" si="14"/>
        <v>0</v>
      </c>
      <c r="DA11" s="28">
        <f t="shared" si="15"/>
        <v>0</v>
      </c>
      <c r="DB11" s="28">
        <f t="shared" si="16"/>
        <v>6.5</v>
      </c>
      <c r="DC11" s="28">
        <f t="shared" si="17"/>
        <v>1.4207431867212517</v>
      </c>
      <c r="DD11" s="28"/>
      <c r="DE11" s="28">
        <f>IF(N11="",VLOOKUP(M11,'HU-MOD-2-Parameters_CROP'!$A$4:$AE$151,24,),N11)</f>
        <v>0</v>
      </c>
      <c r="DF11" s="28">
        <f>IF(BG11="",VLOOKUP(M11,'HU-MOD-2-Parameters_CROP'!$A$4:$AE$151,25,),BG11)</f>
        <v>0.85</v>
      </c>
      <c r="DG11" s="28">
        <f>IF(BH11="",VLOOKUP(M11,'HU-MOD-2-Parameters_CROP'!$A$4:$AE$151,26,),BH11)</f>
        <v>0</v>
      </c>
      <c r="DH11" s="28">
        <v>1</v>
      </c>
      <c r="DI11" s="28">
        <f t="shared" si="18"/>
        <v>0.42331874316212093</v>
      </c>
      <c r="DJ11" s="28">
        <v>0.6</v>
      </c>
      <c r="DK11" s="29"/>
      <c r="DL11" s="29"/>
      <c r="DM11" s="29"/>
      <c r="DN11" s="29"/>
      <c r="DO11" s="29"/>
      <c r="DP11" s="29"/>
      <c r="DQ11" s="29"/>
      <c r="DR11" s="29"/>
      <c r="DS11" s="22"/>
      <c r="DT11" s="22"/>
      <c r="DU11" s="22"/>
      <c r="DV11" s="22"/>
    </row>
    <row r="12" spans="1:126" x14ac:dyDescent="0.25">
      <c r="A12" s="43" t="s">
        <v>444</v>
      </c>
      <c r="B12" s="43" t="s">
        <v>445</v>
      </c>
      <c r="E12" s="43">
        <v>10</v>
      </c>
      <c r="F12" s="43">
        <v>0.4</v>
      </c>
      <c r="G12" s="43">
        <v>650</v>
      </c>
      <c r="H12" s="43">
        <v>0.5</v>
      </c>
      <c r="I12" s="43">
        <v>20</v>
      </c>
      <c r="J12" s="43">
        <v>2003</v>
      </c>
      <c r="K12" s="7">
        <v>1</v>
      </c>
      <c r="L12" s="61" t="s">
        <v>102</v>
      </c>
      <c r="M12" s="48">
        <v>1034</v>
      </c>
      <c r="N12" s="63">
        <v>0</v>
      </c>
      <c r="O12" s="61">
        <v>0</v>
      </c>
      <c r="AB12" s="43">
        <v>26</v>
      </c>
      <c r="AC12" s="43" t="s">
        <v>34</v>
      </c>
      <c r="BI12" s="22">
        <f t="shared" si="0"/>
        <v>1359.026643720234</v>
      </c>
      <c r="BJ12" s="22">
        <f t="shared" si="1"/>
        <v>976.07152584275923</v>
      </c>
      <c r="BK12" s="22">
        <f t="shared" si="2"/>
        <v>-382.95511787747478</v>
      </c>
      <c r="BL12" s="22">
        <f t="shared" si="3"/>
        <v>-38.295511787747479</v>
      </c>
      <c r="BM12" s="66">
        <f t="shared" si="19"/>
        <v>-382.95511787747478</v>
      </c>
      <c r="BN12" s="66">
        <f t="shared" si="20"/>
        <v>-38.295511787747479</v>
      </c>
      <c r="BO12" s="23">
        <f t="shared" si="5"/>
        <v>133.59377777777777</v>
      </c>
      <c r="BP12" s="23">
        <f t="shared" si="6"/>
        <v>0</v>
      </c>
      <c r="BQ12" s="23">
        <f>IF(BO12*DJ12&gt;CU12+CY12+DA12+DC12+O12*DI12,CU12+CY12+DA12+DC12+O12*DI12,BO12*DJ12)</f>
        <v>12.29198881602713</v>
      </c>
      <c r="BR12" s="24">
        <f t="shared" si="7"/>
        <v>8.4663748632424181</v>
      </c>
      <c r="BS12" s="24">
        <f t="shared" si="8"/>
        <v>-23.067250273515164</v>
      </c>
      <c r="BT12" s="68">
        <f t="shared" si="9"/>
        <v>1479.1111111111113</v>
      </c>
      <c r="BU12" s="68">
        <f t="shared" si="10"/>
        <v>920</v>
      </c>
      <c r="BV12" s="25">
        <f t="shared" si="11"/>
        <v>45.50577777777778</v>
      </c>
      <c r="BW12" s="26">
        <f t="shared" si="12"/>
        <v>52.10137480649815</v>
      </c>
      <c r="BX12" s="27"/>
      <c r="BY12" s="28">
        <f>IF(AI12="",VLOOKUP($M12,'HU-MOD-2-Parameters_CROP'!$A$4:$AE$151,5,),AI12)</f>
        <v>0.22</v>
      </c>
      <c r="BZ12" s="28">
        <f>IF(AJ12="",VLOOKUP($M12,'HU-MOD-2-Parameters_CROP'!$A$4:$AE$151,6,),AJ12)</f>
        <v>0.42</v>
      </c>
      <c r="CA12" s="28">
        <f>IF(AK12="",VLOOKUP($M12,'HU-MOD-2-Parameters_CROP'!$A$4:$AE$151,7,),AK12)</f>
        <v>1.54E-2</v>
      </c>
      <c r="CB12" s="28">
        <f>IF(AD12="",$AB12*VLOOKUP($M12,'HU-MOD-2-Parameters_CROP'!$A$4:$AE$201,8,),AD12)</f>
        <v>0</v>
      </c>
      <c r="CC12" s="28">
        <f>IF(AL12="",VLOOKUP($M12,'HU-MOD-2-Parameters_CROP'!$A$4:$AE$151,9,),AL12)</f>
        <v>0.4</v>
      </c>
      <c r="CD12" s="28">
        <f>IF(AM12="",VLOOKUP($M12,'HU-MOD-2-Parameters_CROP'!$A$4:$AE$151,10,),AM12)</f>
        <v>0.4</v>
      </c>
      <c r="CE12" s="28">
        <f>IF(AN12="",VLOOKUP($M12,'HU-MOD-2-Parameters_CROP'!$A$4:$AE$151,11,),AN12)</f>
        <v>9.9000000000000008E-3</v>
      </c>
      <c r="CF12" s="28">
        <f>IF(AF12="",$AB12*VLOOKUP($M12,'HU-MOD-2-Parameters_CROP'!$A$4:$AE$201,12,),AF12)</f>
        <v>0</v>
      </c>
      <c r="CG12" s="28">
        <f>IF(AO12="",VLOOKUP($M12,'HU-MOD-2-Parameters_CROP'!$A$4:$AE$151,13,),AO12)</f>
        <v>0</v>
      </c>
      <c r="CH12" s="28">
        <f>IF(AP12="",VLOOKUP($M12,'HU-MOD-2-Parameters_CROP'!$A$4:$AE$151,14,),AP12)</f>
        <v>0</v>
      </c>
      <c r="CI12" s="28">
        <f>IF(AQ12="",VLOOKUP($M12,'HU-MOD-2-Parameters_CROP'!$A$4:$AE$151,15,),AQ12)</f>
        <v>0</v>
      </c>
      <c r="CJ12" s="28">
        <f>IF(AG12="",$AB12*VLOOKUP($M12,'HU-MOD-2-Parameters_CROP'!$A$4:$AE$201,16,),AG12)</f>
        <v>7.8</v>
      </c>
      <c r="CK12" s="28">
        <f>IF(AR12="",VLOOKUP($M12,'HU-MOD-2-Parameters_CROP'!$A$4:$AE$151,17,),AR12)</f>
        <v>0.4</v>
      </c>
      <c r="CL12" s="28">
        <f>IF(AS12="",VLOOKUP($M12,'HU-MOD-2-Parameters_CROP'!$A$4:$AE$151,18,),AS12)</f>
        <v>0.4</v>
      </c>
      <c r="CM12" s="28">
        <f>IF(AT12="",VLOOKUP($M12,'HU-MOD-2-Parameters_CROP'!$A$4:$AE$151,19,),AT12)</f>
        <v>9.9000000000000008E-3</v>
      </c>
      <c r="CN12" s="28">
        <f>IF(AH12="",$AB12*BY12*VLOOKUP($M12,'HU-MOD-2-Parameters_CROP'!$A$4:$AE$201,20,),AH12)</f>
        <v>0.57777777777777761</v>
      </c>
      <c r="CO12" s="28">
        <f>IF(AU12="",VLOOKUP($M12,'HU-MOD-2-Parameters_CROP'!$A$4:$AE$151,21,),AU12)</f>
        <v>1</v>
      </c>
      <c r="CP12" s="28">
        <f>IF(AV12="",VLOOKUP($M12,'HU-MOD-2-Parameters_CROP'!$A$4:$AE$151,22,),AV12)</f>
        <v>0.4</v>
      </c>
      <c r="CQ12" s="28">
        <f>IF(AW12="",VLOOKUP($M12,'HU-MOD-2-Parameters_CROP'!$A$4:$AE$151,23,),AW12)</f>
        <v>2.53E-2</v>
      </c>
      <c r="CR12" s="28">
        <f>IF(AX12="",VLOOKUP($Q12,'HU-MOD-2-Parameters_FTLZ'!$A$4:$I$109,5,),AX12)</f>
        <v>0</v>
      </c>
      <c r="CS12" s="28">
        <f>IF(AY12="",VLOOKUP($Q12,'HU-MOD-2-Parameters_FTLZ'!$A$4:$I$109,6,),AY12)</f>
        <v>0</v>
      </c>
      <c r="CT12" s="28">
        <f>IF(AZ12="",VLOOKUP($Q12,'HU-MOD-2-Parameters_FTLZ'!$A$4:$I$109,7,),AZ12)</f>
        <v>0</v>
      </c>
      <c r="CU12" s="28">
        <f t="shared" si="13"/>
        <v>0</v>
      </c>
      <c r="CV12" s="28">
        <f>IF(BA12="",VLOOKUP($U12,'HU-MOD-2-Parameters_FTLZ'!$A$4:$I$109,5,),BA12)</f>
        <v>0</v>
      </c>
      <c r="CW12" s="28">
        <f>IF(BB12="",VLOOKUP($U12,'HU-MOD-2-Parameters_FTLZ'!$A$4:$I$109,6,),BB12)</f>
        <v>0</v>
      </c>
      <c r="CX12" s="28">
        <f>IF(BC12="",VLOOKUP($U12,'HU-MOD-2-Parameters_FTLZ'!$A$4:$I$109,7,),BC12)</f>
        <v>0</v>
      </c>
      <c r="CY12" s="28">
        <f>IF(CV12=0,0,IF(W12=1,1000*V12*CV12*CX12*(1.6674*POWER(CW12/CX12,-0.768))*DI12,1000*V12*CV12*CX12*(1.6674*POWER(CW12/CX12,-0.768))*DH12))</f>
        <v>0</v>
      </c>
      <c r="CZ12" s="28">
        <f t="shared" si="14"/>
        <v>10</v>
      </c>
      <c r="DA12" s="28">
        <f t="shared" si="15"/>
        <v>12.29198881602713</v>
      </c>
      <c r="DB12" s="28">
        <f t="shared" si="16"/>
        <v>0</v>
      </c>
      <c r="DC12" s="28">
        <f t="shared" si="17"/>
        <v>0</v>
      </c>
      <c r="DD12" s="28"/>
      <c r="DE12" s="28">
        <f>IF(N12="",VLOOKUP(M12,'HU-MOD-2-Parameters_CROP'!$A$4:$AE$151,24,),N12)</f>
        <v>0</v>
      </c>
      <c r="DF12" s="28">
        <f>IF(BG12="",VLOOKUP(M12,'HU-MOD-2-Parameters_CROP'!$A$4:$AE$151,25,),BG12)</f>
        <v>0</v>
      </c>
      <c r="DG12" s="28">
        <f>IF(BH12="",VLOOKUP(M12,'HU-MOD-2-Parameters_CROP'!$A$4:$AE$151,26,),BH12)</f>
        <v>-40</v>
      </c>
      <c r="DH12" s="28">
        <v>1</v>
      </c>
      <c r="DI12" s="28">
        <f t="shared" si="18"/>
        <v>0.42331874316212093</v>
      </c>
      <c r="DJ12" s="28">
        <v>0.6</v>
      </c>
      <c r="DK12" s="29"/>
      <c r="DL12" s="29"/>
      <c r="DM12" s="29"/>
      <c r="DN12" s="29"/>
      <c r="DO12" s="29"/>
      <c r="DP12" s="29"/>
      <c r="DQ12" s="29"/>
      <c r="DR12" s="29"/>
      <c r="DS12" s="22"/>
      <c r="DT12" s="22"/>
      <c r="DU12" s="22"/>
      <c r="DV12" s="22"/>
    </row>
    <row r="13" spans="1:126" x14ac:dyDescent="0.25">
      <c r="BI13" s="22"/>
      <c r="BJ13" s="22"/>
      <c r="BK13" s="22"/>
      <c r="BL13" s="22"/>
      <c r="BM13" s="66"/>
      <c r="BN13" s="66"/>
      <c r="BO13" s="23"/>
      <c r="BP13" s="23"/>
      <c r="BQ13" s="23"/>
      <c r="BR13" s="24"/>
      <c r="BS13" s="24"/>
      <c r="BT13" s="68"/>
      <c r="BU13" s="68"/>
      <c r="BV13" s="25"/>
      <c r="BW13" s="26"/>
      <c r="BX13" s="27"/>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9"/>
      <c r="DL13" s="29"/>
      <c r="DM13" s="29"/>
      <c r="DN13" s="29"/>
      <c r="DO13" s="29"/>
      <c r="DP13" s="29"/>
      <c r="DQ13" s="29"/>
      <c r="DR13" s="29"/>
      <c r="DS13" s="22"/>
      <c r="DT13" s="22"/>
      <c r="DU13" s="22"/>
      <c r="DV13" s="22"/>
    </row>
    <row r="14" spans="1:126" x14ac:dyDescent="0.25">
      <c r="BI14" s="22"/>
      <c r="BJ14" s="22"/>
      <c r="BK14" s="22"/>
      <c r="BL14" s="22"/>
      <c r="BM14" s="66"/>
      <c r="BN14" s="66"/>
      <c r="BO14" s="23"/>
      <c r="BP14" s="23"/>
      <c r="BQ14" s="23"/>
      <c r="BR14" s="24"/>
      <c r="BS14" s="24"/>
      <c r="BT14" s="68"/>
      <c r="BU14" s="68"/>
      <c r="BV14" s="25"/>
      <c r="BW14" s="26"/>
      <c r="BX14" s="27"/>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9"/>
      <c r="DL14" s="29"/>
      <c r="DM14" s="29"/>
      <c r="DN14" s="29"/>
      <c r="DO14" s="29"/>
      <c r="DP14" s="29"/>
      <c r="DQ14" s="29"/>
      <c r="DR14" s="29"/>
      <c r="DS14" s="22"/>
      <c r="DT14" s="22"/>
      <c r="DU14" s="22"/>
      <c r="DV14" s="22"/>
    </row>
    <row r="15" spans="1:126" x14ac:dyDescent="0.25">
      <c r="BI15" s="22"/>
      <c r="BJ15" s="22"/>
      <c r="BK15" s="22"/>
      <c r="BL15" s="22"/>
      <c r="BM15" s="66"/>
      <c r="BN15" s="66"/>
      <c r="BO15" s="23"/>
      <c r="BP15" s="23"/>
      <c r="BQ15" s="23"/>
      <c r="BR15" s="24"/>
      <c r="BS15" s="24"/>
      <c r="BT15" s="68"/>
      <c r="BU15" s="68"/>
      <c r="BV15" s="25"/>
      <c r="BW15" s="26"/>
      <c r="BX15" s="27"/>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9"/>
      <c r="DL15" s="29"/>
      <c r="DM15" s="29"/>
      <c r="DN15" s="29"/>
      <c r="DO15" s="29"/>
      <c r="DP15" s="29"/>
      <c r="DQ15" s="29"/>
      <c r="DR15" s="29"/>
      <c r="DS15" s="22"/>
      <c r="DT15" s="22"/>
      <c r="DU15" s="22"/>
      <c r="DV15" s="22"/>
    </row>
    <row r="16" spans="1:126" x14ac:dyDescent="0.25">
      <c r="BI16" s="22"/>
      <c r="BJ16" s="22"/>
      <c r="BK16" s="22"/>
      <c r="BL16" s="22"/>
      <c r="BM16" s="66"/>
      <c r="BN16" s="66"/>
      <c r="BO16" s="23"/>
      <c r="BP16" s="23"/>
      <c r="BQ16" s="23"/>
      <c r="BR16" s="24"/>
      <c r="BS16" s="24"/>
      <c r="BT16" s="68"/>
      <c r="BU16" s="68"/>
      <c r="BV16" s="25"/>
      <c r="BW16" s="26"/>
      <c r="BX16" s="27"/>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9"/>
      <c r="DL16" s="29"/>
      <c r="DM16" s="29"/>
      <c r="DN16" s="29"/>
      <c r="DO16" s="29"/>
      <c r="DP16" s="29"/>
      <c r="DQ16" s="29"/>
      <c r="DR16" s="29"/>
      <c r="DS16" s="22"/>
      <c r="DT16" s="22"/>
      <c r="DU16" s="22"/>
      <c r="DV16" s="22"/>
    </row>
    <row r="17" spans="61:126" x14ac:dyDescent="0.25">
      <c r="BI17" s="22"/>
      <c r="BJ17" s="22"/>
      <c r="BK17" s="22"/>
      <c r="BL17" s="22"/>
      <c r="BM17" s="66"/>
      <c r="BN17" s="66"/>
      <c r="BO17" s="23"/>
      <c r="BP17" s="23"/>
      <c r="BQ17" s="23"/>
      <c r="BR17" s="24"/>
      <c r="BS17" s="24"/>
      <c r="BT17" s="68"/>
      <c r="BU17" s="68"/>
      <c r="BV17" s="25"/>
      <c r="BW17" s="26"/>
      <c r="BX17" s="27"/>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9"/>
      <c r="DL17" s="29"/>
      <c r="DM17" s="29"/>
      <c r="DN17" s="29"/>
      <c r="DO17" s="29"/>
      <c r="DP17" s="29"/>
      <c r="DQ17" s="29"/>
      <c r="DR17" s="29"/>
      <c r="DS17" s="22"/>
      <c r="DT17" s="22"/>
      <c r="DU17" s="22"/>
      <c r="DV17" s="22"/>
    </row>
    <row r="18" spans="61:126" x14ac:dyDescent="0.25">
      <c r="BI18" s="22"/>
      <c r="BJ18" s="22"/>
      <c r="BK18" s="22"/>
      <c r="BL18" s="22"/>
      <c r="BM18" s="66"/>
      <c r="BN18" s="66"/>
      <c r="BO18" s="23"/>
      <c r="BP18" s="23"/>
      <c r="BQ18" s="23"/>
      <c r="BR18" s="24"/>
      <c r="BS18" s="24"/>
      <c r="BT18" s="68"/>
      <c r="BU18" s="68"/>
      <c r="BV18" s="25"/>
      <c r="BW18" s="26"/>
      <c r="BX18" s="27"/>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9"/>
      <c r="DL18" s="29"/>
      <c r="DM18" s="29"/>
      <c r="DN18" s="29"/>
      <c r="DO18" s="29"/>
      <c r="DP18" s="29"/>
      <c r="DQ18" s="29"/>
      <c r="DR18" s="29"/>
      <c r="DS18" s="22"/>
      <c r="DT18" s="22"/>
      <c r="DU18" s="22"/>
      <c r="DV18" s="22"/>
    </row>
    <row r="19" spans="61:126" x14ac:dyDescent="0.25">
      <c r="BI19" s="22"/>
      <c r="BJ19" s="22"/>
      <c r="BK19" s="22"/>
      <c r="BL19" s="22"/>
      <c r="BM19" s="66"/>
      <c r="BN19" s="66"/>
      <c r="BO19" s="23"/>
      <c r="BP19" s="23"/>
      <c r="BQ19" s="23"/>
      <c r="BR19" s="24"/>
      <c r="BS19" s="24"/>
      <c r="BT19" s="68"/>
      <c r="BU19" s="68"/>
      <c r="BV19" s="25"/>
      <c r="BW19" s="26"/>
      <c r="BX19" s="27"/>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9"/>
      <c r="DL19" s="29"/>
      <c r="DM19" s="29"/>
      <c r="DN19" s="29"/>
      <c r="DO19" s="29"/>
      <c r="DP19" s="29"/>
      <c r="DQ19" s="29"/>
      <c r="DR19" s="29"/>
      <c r="DS19" s="22"/>
      <c r="DT19" s="22"/>
      <c r="DU19" s="22"/>
      <c r="DV19" s="22"/>
    </row>
    <row r="20" spans="61:126" x14ac:dyDescent="0.25">
      <c r="BI20" s="22"/>
      <c r="BJ20" s="22"/>
      <c r="BK20" s="22"/>
      <c r="BL20" s="22"/>
      <c r="BM20" s="66"/>
      <c r="BN20" s="66"/>
      <c r="BO20" s="23"/>
      <c r="BP20" s="23"/>
      <c r="BQ20" s="23"/>
      <c r="BR20" s="24"/>
      <c r="BS20" s="24"/>
      <c r="BT20" s="68"/>
      <c r="BU20" s="68"/>
      <c r="BV20" s="25"/>
      <c r="BW20" s="26"/>
      <c r="BX20" s="27"/>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9"/>
      <c r="DL20" s="29"/>
      <c r="DM20" s="29"/>
      <c r="DN20" s="29"/>
      <c r="DO20" s="29"/>
      <c r="DP20" s="29"/>
      <c r="DQ20" s="29"/>
      <c r="DR20" s="29"/>
      <c r="DS20" s="22"/>
      <c r="DT20" s="22"/>
      <c r="DU20" s="22"/>
      <c r="DV20" s="22"/>
    </row>
    <row r="21" spans="61:126" x14ac:dyDescent="0.25">
      <c r="BI21" s="22"/>
      <c r="BJ21" s="22"/>
      <c r="BK21" s="22"/>
      <c r="BL21" s="22"/>
      <c r="BM21" s="66"/>
      <c r="BN21" s="66"/>
      <c r="BO21" s="23"/>
      <c r="BP21" s="23"/>
      <c r="BQ21" s="23"/>
      <c r="BR21" s="24"/>
      <c r="BS21" s="24"/>
      <c r="BT21" s="68"/>
      <c r="BU21" s="68"/>
      <c r="BV21" s="25"/>
      <c r="BW21" s="26"/>
      <c r="BX21" s="27"/>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9"/>
      <c r="DL21" s="29"/>
      <c r="DM21" s="29"/>
      <c r="DN21" s="29"/>
      <c r="DO21" s="29"/>
      <c r="DP21" s="29"/>
      <c r="DQ21" s="29"/>
      <c r="DR21" s="29"/>
      <c r="DS21" s="22"/>
      <c r="DT21" s="22"/>
      <c r="DU21" s="22"/>
      <c r="DV21" s="22"/>
    </row>
    <row r="22" spans="61:126" x14ac:dyDescent="0.25">
      <c r="BI22" s="22"/>
      <c r="BJ22" s="22"/>
      <c r="BK22" s="22"/>
      <c r="BL22" s="22"/>
      <c r="BM22" s="66"/>
      <c r="BN22" s="66"/>
      <c r="BO22" s="23"/>
      <c r="BP22" s="23"/>
      <c r="BQ22" s="23"/>
      <c r="BR22" s="24"/>
      <c r="BS22" s="24"/>
      <c r="BT22" s="68"/>
      <c r="BU22" s="68"/>
      <c r="BV22" s="25"/>
      <c r="BW22" s="26"/>
      <c r="BX22" s="27"/>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9"/>
      <c r="DL22" s="29"/>
      <c r="DM22" s="29"/>
      <c r="DN22" s="29"/>
      <c r="DO22" s="29"/>
      <c r="DP22" s="29"/>
      <c r="DQ22" s="29"/>
      <c r="DR22" s="29"/>
      <c r="DS22" s="22"/>
      <c r="DT22" s="22"/>
      <c r="DU22" s="22"/>
      <c r="DV22" s="22"/>
    </row>
    <row r="23" spans="61:126" x14ac:dyDescent="0.25">
      <c r="BI23" s="22"/>
      <c r="BJ23" s="22"/>
      <c r="BK23" s="22"/>
      <c r="BL23" s="22"/>
      <c r="BM23" s="66"/>
      <c r="BN23" s="66"/>
      <c r="BO23" s="23"/>
      <c r="BP23" s="23"/>
      <c r="BQ23" s="23"/>
      <c r="BR23" s="24"/>
      <c r="BS23" s="24"/>
      <c r="BT23" s="68"/>
      <c r="BU23" s="68"/>
      <c r="BV23" s="25"/>
      <c r="BW23" s="26"/>
      <c r="BX23" s="27"/>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9"/>
      <c r="DL23" s="29"/>
      <c r="DM23" s="29"/>
      <c r="DN23" s="29"/>
      <c r="DO23" s="29"/>
      <c r="DP23" s="29"/>
      <c r="DQ23" s="29"/>
      <c r="DR23" s="29"/>
      <c r="DS23" s="22"/>
      <c r="DT23" s="22"/>
      <c r="DU23" s="22"/>
      <c r="DV23" s="22"/>
    </row>
    <row r="24" spans="61:126" x14ac:dyDescent="0.25">
      <c r="BI24" s="22"/>
      <c r="BJ24" s="22"/>
      <c r="BK24" s="22"/>
      <c r="BL24" s="22"/>
      <c r="BM24" s="66"/>
      <c r="BN24" s="66"/>
      <c r="BO24" s="23"/>
      <c r="BP24" s="23"/>
      <c r="BQ24" s="23"/>
      <c r="BR24" s="24"/>
      <c r="BS24" s="24"/>
      <c r="BT24" s="68"/>
      <c r="BU24" s="68"/>
      <c r="BV24" s="25"/>
      <c r="BW24" s="26"/>
      <c r="BX24" s="27"/>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9"/>
      <c r="DL24" s="29"/>
      <c r="DM24" s="29"/>
      <c r="DN24" s="29"/>
      <c r="DO24" s="29"/>
      <c r="DP24" s="29"/>
      <c r="DQ24" s="29"/>
      <c r="DR24" s="29"/>
      <c r="DS24" s="22"/>
      <c r="DT24" s="22"/>
      <c r="DU24" s="22"/>
      <c r="DV24" s="22"/>
    </row>
    <row r="25" spans="61:126" x14ac:dyDescent="0.25">
      <c r="BI25" s="22"/>
      <c r="BJ25" s="22"/>
      <c r="BK25" s="22"/>
      <c r="BL25" s="22"/>
      <c r="BM25" s="66"/>
      <c r="BN25" s="66"/>
      <c r="BO25" s="23"/>
      <c r="BP25" s="23"/>
      <c r="BQ25" s="23"/>
      <c r="BR25" s="24"/>
      <c r="BS25" s="24"/>
      <c r="BT25" s="68"/>
      <c r="BU25" s="68"/>
      <c r="BV25" s="25"/>
      <c r="BW25" s="26"/>
      <c r="BX25" s="27"/>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9"/>
      <c r="DL25" s="29"/>
      <c r="DM25" s="29"/>
      <c r="DN25" s="29"/>
      <c r="DO25" s="29"/>
      <c r="DP25" s="29"/>
      <c r="DQ25" s="29"/>
      <c r="DR25" s="29"/>
      <c r="DS25" s="22"/>
      <c r="DT25" s="22"/>
      <c r="DU25" s="22"/>
      <c r="DV25" s="22"/>
    </row>
    <row r="26" spans="61:126" x14ac:dyDescent="0.25">
      <c r="BI26" s="22"/>
      <c r="BJ26" s="22"/>
      <c r="BK26" s="22"/>
      <c r="BL26" s="22"/>
      <c r="BM26" s="66"/>
      <c r="BN26" s="66"/>
      <c r="BO26" s="23"/>
      <c r="BP26" s="23"/>
      <c r="BQ26" s="23"/>
      <c r="BR26" s="24"/>
      <c r="BS26" s="24"/>
      <c r="BT26" s="68"/>
      <c r="BU26" s="68"/>
      <c r="BV26" s="25"/>
      <c r="BW26" s="26"/>
      <c r="BX26" s="27"/>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9"/>
      <c r="DL26" s="29"/>
      <c r="DM26" s="29"/>
      <c r="DN26" s="29"/>
      <c r="DO26" s="29"/>
      <c r="DP26" s="29"/>
      <c r="DQ26" s="29"/>
      <c r="DR26" s="29"/>
      <c r="DS26" s="22"/>
      <c r="DT26" s="22"/>
      <c r="DU26" s="22"/>
      <c r="DV26" s="22"/>
    </row>
    <row r="27" spans="61:126" x14ac:dyDescent="0.25">
      <c r="BI27" s="22"/>
      <c r="BJ27" s="22"/>
      <c r="BK27" s="22"/>
      <c r="BL27" s="22"/>
      <c r="BM27" s="66"/>
      <c r="BN27" s="66"/>
      <c r="BO27" s="23"/>
      <c r="BP27" s="23"/>
      <c r="BQ27" s="23"/>
      <c r="BR27" s="24"/>
      <c r="BS27" s="24"/>
      <c r="BT27" s="68"/>
      <c r="BU27" s="68"/>
      <c r="BV27" s="25"/>
      <c r="BW27" s="26"/>
      <c r="BX27" s="27"/>
      <c r="BY27" s="28"/>
      <c r="BZ27" s="28"/>
      <c r="CA27" s="28"/>
      <c r="CB27" s="28"/>
      <c r="CC27" s="28"/>
      <c r="CD27" s="28"/>
      <c r="CE27" s="28"/>
      <c r="CF27" s="28"/>
      <c r="CG27" s="28"/>
      <c r="CH27" s="28"/>
      <c r="CI27" s="28"/>
      <c r="CJ27" s="28"/>
      <c r="CK27" s="28"/>
      <c r="CL27" s="28"/>
      <c r="CM27" s="28"/>
      <c r="CN27" s="28"/>
      <c r="CO27" s="28"/>
      <c r="CP27" s="28"/>
      <c r="CQ27" s="28"/>
      <c r="CR27" s="28"/>
      <c r="CS27" s="28"/>
      <c r="CT27" s="28"/>
      <c r="CU27" s="28"/>
      <c r="CV27" s="28"/>
      <c r="CW27" s="28"/>
      <c r="CX27" s="28"/>
      <c r="CY27" s="28"/>
      <c r="CZ27" s="28"/>
      <c r="DA27" s="28"/>
      <c r="DB27" s="28"/>
      <c r="DC27" s="28"/>
      <c r="DD27" s="28"/>
      <c r="DE27" s="28"/>
      <c r="DF27" s="28"/>
      <c r="DG27" s="28"/>
      <c r="DH27" s="28"/>
      <c r="DI27" s="28"/>
      <c r="DJ27" s="28"/>
      <c r="DK27" s="29"/>
      <c r="DL27" s="29"/>
      <c r="DM27" s="29"/>
      <c r="DN27" s="29"/>
      <c r="DO27" s="29"/>
      <c r="DP27" s="29"/>
      <c r="DQ27" s="29"/>
      <c r="DR27" s="29"/>
      <c r="DS27" s="22"/>
      <c r="DT27" s="22"/>
      <c r="DU27" s="22"/>
      <c r="DV27" s="22"/>
    </row>
    <row r="28" spans="61:126" x14ac:dyDescent="0.25">
      <c r="BI28" s="22"/>
      <c r="BJ28" s="22"/>
      <c r="BK28" s="22"/>
      <c r="BL28" s="22"/>
      <c r="BM28" s="66"/>
      <c r="BN28" s="66"/>
      <c r="BO28" s="23"/>
      <c r="BP28" s="23"/>
      <c r="BQ28" s="23"/>
      <c r="BR28" s="24"/>
      <c r="BS28" s="24"/>
      <c r="BT28" s="68"/>
      <c r="BU28" s="68"/>
      <c r="BV28" s="25"/>
      <c r="BW28" s="26"/>
      <c r="BX28" s="27"/>
      <c r="BY28" s="28"/>
      <c r="BZ28" s="28"/>
      <c r="CA28" s="28"/>
      <c r="CB28" s="28"/>
      <c r="CC28" s="28"/>
      <c r="CD28" s="28"/>
      <c r="CE28" s="28"/>
      <c r="CF28" s="28"/>
      <c r="CG28" s="28"/>
      <c r="CH28" s="28"/>
      <c r="CI28" s="28"/>
      <c r="CJ28" s="28"/>
      <c r="CK28" s="28"/>
      <c r="CL28" s="28"/>
      <c r="CM28" s="28"/>
      <c r="CN28" s="28"/>
      <c r="CO28" s="28"/>
      <c r="CP28" s="28"/>
      <c r="CQ28" s="28"/>
      <c r="CR28" s="28"/>
      <c r="CS28" s="28"/>
      <c r="CT28" s="28"/>
      <c r="CU28" s="28"/>
      <c r="CV28" s="28"/>
      <c r="CW28" s="28"/>
      <c r="CX28" s="28"/>
      <c r="CY28" s="28"/>
      <c r="CZ28" s="28"/>
      <c r="DA28" s="28"/>
      <c r="DB28" s="28"/>
      <c r="DC28" s="28"/>
      <c r="DD28" s="28"/>
      <c r="DE28" s="28"/>
      <c r="DF28" s="28"/>
      <c r="DG28" s="28"/>
      <c r="DH28" s="28"/>
      <c r="DI28" s="28"/>
      <c r="DJ28" s="28"/>
      <c r="DK28" s="29"/>
      <c r="DL28" s="29"/>
      <c r="DM28" s="29"/>
      <c r="DN28" s="29"/>
      <c r="DO28" s="29"/>
      <c r="DP28" s="29"/>
      <c r="DQ28" s="29"/>
      <c r="DR28" s="29"/>
      <c r="DS28" s="22"/>
      <c r="DT28" s="22"/>
      <c r="DU28" s="22"/>
      <c r="DV28" s="22"/>
    </row>
    <row r="29" spans="61:126" x14ac:dyDescent="0.25">
      <c r="BI29" s="22"/>
      <c r="BJ29" s="22"/>
      <c r="BK29" s="22"/>
      <c r="BL29" s="22"/>
      <c r="BM29" s="66"/>
      <c r="BN29" s="66"/>
      <c r="BO29" s="23"/>
      <c r="BP29" s="23"/>
      <c r="BQ29" s="23"/>
      <c r="BR29" s="24"/>
      <c r="BS29" s="24"/>
      <c r="BT29" s="68"/>
      <c r="BU29" s="68"/>
      <c r="BV29" s="25"/>
      <c r="BW29" s="26"/>
      <c r="BX29" s="27"/>
      <c r="BY29" s="28"/>
      <c r="BZ29" s="28"/>
      <c r="CA29" s="28"/>
      <c r="CB29" s="28"/>
      <c r="CC29" s="28"/>
      <c r="CD29" s="28"/>
      <c r="CE29" s="28"/>
      <c r="CF29" s="28"/>
      <c r="CG29" s="28"/>
      <c r="CH29" s="28"/>
      <c r="CI29" s="28"/>
      <c r="CJ29" s="28"/>
      <c r="CK29" s="28"/>
      <c r="CL29" s="28"/>
      <c r="CM29" s="28"/>
      <c r="CN29" s="28"/>
      <c r="CO29" s="28"/>
      <c r="CP29" s="28"/>
      <c r="CQ29" s="28"/>
      <c r="CR29" s="28"/>
      <c r="CS29" s="28"/>
      <c r="CT29" s="28"/>
      <c r="CU29" s="28"/>
      <c r="CV29" s="28"/>
      <c r="CW29" s="28"/>
      <c r="CX29" s="28"/>
      <c r="CY29" s="28"/>
      <c r="CZ29" s="28"/>
      <c r="DA29" s="28"/>
      <c r="DB29" s="28"/>
      <c r="DC29" s="28"/>
      <c r="DD29" s="28"/>
      <c r="DE29" s="28"/>
      <c r="DF29" s="28"/>
      <c r="DG29" s="28"/>
      <c r="DH29" s="28"/>
      <c r="DI29" s="28"/>
      <c r="DJ29" s="28"/>
      <c r="DK29" s="29"/>
      <c r="DL29" s="29"/>
      <c r="DM29" s="29"/>
      <c r="DN29" s="29"/>
      <c r="DO29" s="29"/>
      <c r="DP29" s="29"/>
      <c r="DQ29" s="29"/>
      <c r="DR29" s="29"/>
      <c r="DS29" s="22"/>
      <c r="DT29" s="22"/>
      <c r="DU29" s="22"/>
      <c r="DV29" s="22"/>
    </row>
    <row r="30" spans="61:126" x14ac:dyDescent="0.25">
      <c r="BI30" s="22"/>
      <c r="BJ30" s="22"/>
      <c r="BK30" s="22"/>
      <c r="BL30" s="22"/>
      <c r="BM30" s="66"/>
      <c r="BN30" s="66"/>
      <c r="BO30" s="23"/>
      <c r="BP30" s="23"/>
      <c r="BQ30" s="23"/>
      <c r="BR30" s="24"/>
      <c r="BS30" s="24"/>
      <c r="BT30" s="68"/>
      <c r="BU30" s="68"/>
      <c r="BV30" s="25"/>
      <c r="BW30" s="26"/>
      <c r="BX30" s="27"/>
      <c r="BY30" s="28"/>
      <c r="BZ30" s="28"/>
      <c r="CA30" s="28"/>
      <c r="CB30" s="28"/>
      <c r="CC30" s="28"/>
      <c r="CD30" s="28"/>
      <c r="CE30" s="28"/>
      <c r="CF30" s="28"/>
      <c r="CG30" s="28"/>
      <c r="CH30" s="28"/>
      <c r="CI30" s="28"/>
      <c r="CJ30" s="28"/>
      <c r="CK30" s="28"/>
      <c r="CL30" s="28"/>
      <c r="CM30" s="28"/>
      <c r="CN30" s="28"/>
      <c r="CO30" s="28"/>
      <c r="CP30" s="28"/>
      <c r="CQ30" s="28"/>
      <c r="CR30" s="28"/>
      <c r="CS30" s="28"/>
      <c r="CT30" s="28"/>
      <c r="CU30" s="28"/>
      <c r="CV30" s="28"/>
      <c r="CW30" s="28"/>
      <c r="CX30" s="28"/>
      <c r="CY30" s="28"/>
      <c r="CZ30" s="28"/>
      <c r="DA30" s="28"/>
      <c r="DB30" s="28"/>
      <c r="DC30" s="28"/>
      <c r="DD30" s="28"/>
      <c r="DE30" s="28"/>
      <c r="DF30" s="28"/>
      <c r="DG30" s="28"/>
      <c r="DH30" s="28"/>
      <c r="DI30" s="28"/>
      <c r="DJ30" s="28"/>
      <c r="DK30" s="29"/>
      <c r="DL30" s="29"/>
      <c r="DM30" s="29"/>
      <c r="DN30" s="29"/>
      <c r="DO30" s="29"/>
      <c r="DP30" s="29"/>
      <c r="DQ30" s="29"/>
      <c r="DR30" s="29"/>
      <c r="DS30" s="22"/>
      <c r="DT30" s="22"/>
      <c r="DU30" s="22"/>
      <c r="DV30" s="22"/>
    </row>
    <row r="31" spans="61:126" x14ac:dyDescent="0.25">
      <c r="BI31" s="22"/>
      <c r="BJ31" s="22"/>
      <c r="BK31" s="22"/>
      <c r="BL31" s="22"/>
      <c r="BM31" s="66"/>
      <c r="BN31" s="66"/>
      <c r="BO31" s="23"/>
      <c r="BP31" s="23"/>
      <c r="BQ31" s="23"/>
      <c r="BR31" s="24"/>
      <c r="BS31" s="24"/>
      <c r="BT31" s="68"/>
      <c r="BU31" s="68"/>
      <c r="BV31" s="25"/>
      <c r="BW31" s="26"/>
      <c r="BX31" s="27"/>
      <c r="BY31" s="28"/>
      <c r="BZ31" s="28"/>
      <c r="CA31" s="28"/>
      <c r="CB31" s="28"/>
      <c r="CC31" s="28"/>
      <c r="CD31" s="28"/>
      <c r="CE31" s="28"/>
      <c r="CF31" s="28"/>
      <c r="CG31" s="28"/>
      <c r="CH31" s="28"/>
      <c r="CI31" s="28"/>
      <c r="CJ31" s="28"/>
      <c r="CK31" s="28"/>
      <c r="CL31" s="28"/>
      <c r="CM31" s="28"/>
      <c r="CN31" s="28"/>
      <c r="CO31" s="28"/>
      <c r="CP31" s="28"/>
      <c r="CQ31" s="28"/>
      <c r="CR31" s="28"/>
      <c r="CS31" s="28"/>
      <c r="CT31" s="28"/>
      <c r="CU31" s="28"/>
      <c r="CV31" s="28"/>
      <c r="CW31" s="28"/>
      <c r="CX31" s="28"/>
      <c r="CY31" s="28"/>
      <c r="CZ31" s="28"/>
      <c r="DA31" s="28"/>
      <c r="DB31" s="28"/>
      <c r="DC31" s="28"/>
      <c r="DD31" s="28"/>
      <c r="DE31" s="28"/>
      <c r="DF31" s="28"/>
      <c r="DG31" s="28"/>
      <c r="DH31" s="28"/>
      <c r="DI31" s="28"/>
      <c r="DJ31" s="28"/>
      <c r="DK31" s="29"/>
      <c r="DL31" s="29"/>
      <c r="DM31" s="29"/>
      <c r="DN31" s="29"/>
      <c r="DO31" s="29"/>
      <c r="DP31" s="29"/>
      <c r="DQ31" s="29"/>
      <c r="DR31" s="29"/>
      <c r="DS31" s="22"/>
      <c r="DT31" s="22"/>
      <c r="DU31" s="22"/>
      <c r="DV31" s="22"/>
    </row>
    <row r="32" spans="61:126" x14ac:dyDescent="0.25">
      <c r="BI32" s="22"/>
      <c r="BJ32" s="22"/>
      <c r="BK32" s="22"/>
      <c r="BL32" s="22"/>
      <c r="BM32" s="66"/>
      <c r="BN32" s="66"/>
      <c r="BO32" s="23"/>
      <c r="BP32" s="23"/>
      <c r="BQ32" s="23"/>
      <c r="BR32" s="24"/>
      <c r="BS32" s="24"/>
      <c r="BT32" s="68"/>
      <c r="BU32" s="68"/>
      <c r="BV32" s="25"/>
      <c r="BW32" s="26"/>
      <c r="BX32" s="27"/>
      <c r="BY32" s="28"/>
      <c r="BZ32" s="28"/>
      <c r="CA32" s="28"/>
      <c r="CB32" s="28"/>
      <c r="CC32" s="28"/>
      <c r="CD32" s="28"/>
      <c r="CE32" s="28"/>
      <c r="CF32" s="28"/>
      <c r="CG32" s="28"/>
      <c r="CH32" s="28"/>
      <c r="CI32" s="28"/>
      <c r="CJ32" s="28"/>
      <c r="CK32" s="28"/>
      <c r="CL32" s="28"/>
      <c r="CM32" s="28"/>
      <c r="CN32" s="28"/>
      <c r="CO32" s="28"/>
      <c r="CP32" s="28"/>
      <c r="CQ32" s="28"/>
      <c r="CR32" s="28"/>
      <c r="CS32" s="28"/>
      <c r="CT32" s="28"/>
      <c r="CU32" s="28"/>
      <c r="CV32" s="28"/>
      <c r="CW32" s="28"/>
      <c r="CX32" s="28"/>
      <c r="CY32" s="28"/>
      <c r="CZ32" s="28"/>
      <c r="DA32" s="28"/>
      <c r="DB32" s="28"/>
      <c r="DC32" s="28"/>
      <c r="DD32" s="28"/>
      <c r="DE32" s="28"/>
      <c r="DF32" s="28"/>
      <c r="DG32" s="28"/>
      <c r="DH32" s="28"/>
      <c r="DI32" s="28"/>
      <c r="DJ32" s="28"/>
      <c r="DK32" s="29"/>
      <c r="DL32" s="29"/>
      <c r="DM32" s="29"/>
      <c r="DN32" s="29"/>
      <c r="DO32" s="29"/>
      <c r="DP32" s="29"/>
      <c r="DQ32" s="29"/>
      <c r="DR32" s="29"/>
      <c r="DS32" s="22"/>
      <c r="DT32" s="22"/>
      <c r="DU32" s="22"/>
      <c r="DV32" s="22"/>
    </row>
    <row r="33" spans="61:126" x14ac:dyDescent="0.25">
      <c r="BI33" s="22"/>
      <c r="BJ33" s="22"/>
      <c r="BK33" s="22"/>
      <c r="BL33" s="22"/>
      <c r="BM33" s="66"/>
      <c r="BN33" s="66"/>
      <c r="BO33" s="23"/>
      <c r="BP33" s="23"/>
      <c r="BQ33" s="23"/>
      <c r="BR33" s="24"/>
      <c r="BS33" s="24"/>
      <c r="BT33" s="68"/>
      <c r="BU33" s="68"/>
      <c r="BV33" s="25"/>
      <c r="BW33" s="26"/>
      <c r="BX33" s="27"/>
      <c r="BY33" s="28"/>
      <c r="BZ33" s="28"/>
      <c r="CA33" s="28"/>
      <c r="CB33" s="28"/>
      <c r="CC33" s="28"/>
      <c r="CD33" s="28"/>
      <c r="CE33" s="28"/>
      <c r="CF33" s="28"/>
      <c r="CG33" s="28"/>
      <c r="CH33" s="28"/>
      <c r="CI33" s="28"/>
      <c r="CJ33" s="28"/>
      <c r="CK33" s="28"/>
      <c r="CL33" s="28"/>
      <c r="CM33" s="28"/>
      <c r="CN33" s="28"/>
      <c r="CO33" s="28"/>
      <c r="CP33" s="28"/>
      <c r="CQ33" s="28"/>
      <c r="CR33" s="28"/>
      <c r="CS33" s="28"/>
      <c r="CT33" s="28"/>
      <c r="CU33" s="28"/>
      <c r="CV33" s="28"/>
      <c r="CW33" s="28"/>
      <c r="CX33" s="28"/>
      <c r="CY33" s="28"/>
      <c r="CZ33" s="28"/>
      <c r="DA33" s="28"/>
      <c r="DB33" s="28"/>
      <c r="DC33" s="28"/>
      <c r="DD33" s="28"/>
      <c r="DE33" s="28"/>
      <c r="DF33" s="28"/>
      <c r="DG33" s="28"/>
      <c r="DH33" s="28"/>
      <c r="DI33" s="28"/>
      <c r="DJ33" s="28"/>
      <c r="DK33" s="29"/>
      <c r="DL33" s="29"/>
      <c r="DM33" s="29"/>
      <c r="DN33" s="29"/>
      <c r="DO33" s="29"/>
      <c r="DP33" s="29"/>
      <c r="DQ33" s="29"/>
      <c r="DR33" s="29"/>
      <c r="DS33" s="22"/>
      <c r="DT33" s="22"/>
      <c r="DU33" s="22"/>
      <c r="DV33" s="22"/>
    </row>
    <row r="34" spans="61:126" x14ac:dyDescent="0.25">
      <c r="BI34" s="22"/>
      <c r="BJ34" s="22"/>
      <c r="BK34" s="22"/>
      <c r="BL34" s="22"/>
      <c r="BM34" s="66"/>
      <c r="BN34" s="66"/>
      <c r="BO34" s="23"/>
      <c r="BP34" s="23"/>
      <c r="BQ34" s="23"/>
      <c r="BR34" s="24"/>
      <c r="BS34" s="24"/>
      <c r="BT34" s="68"/>
      <c r="BU34" s="68"/>
      <c r="BV34" s="25"/>
      <c r="BW34" s="26"/>
      <c r="BX34" s="27"/>
      <c r="BY34" s="28"/>
      <c r="BZ34" s="28"/>
      <c r="CA34" s="28"/>
      <c r="CB34" s="28"/>
      <c r="CC34" s="28"/>
      <c r="CD34" s="28"/>
      <c r="CE34" s="28"/>
      <c r="CF34" s="28"/>
      <c r="CG34" s="28"/>
      <c r="CH34" s="28"/>
      <c r="CI34" s="28"/>
      <c r="CJ34" s="28"/>
      <c r="CK34" s="28"/>
      <c r="CL34" s="28"/>
      <c r="CM34" s="28"/>
      <c r="CN34" s="28"/>
      <c r="CO34" s="28"/>
      <c r="CP34" s="28"/>
      <c r="CQ34" s="28"/>
      <c r="CR34" s="28"/>
      <c r="CS34" s="28"/>
      <c r="CT34" s="28"/>
      <c r="CU34" s="28"/>
      <c r="CV34" s="28"/>
      <c r="CW34" s="28"/>
      <c r="CX34" s="28"/>
      <c r="CY34" s="28"/>
      <c r="CZ34" s="28"/>
      <c r="DA34" s="28"/>
      <c r="DB34" s="28"/>
      <c r="DC34" s="28"/>
      <c r="DD34" s="28"/>
      <c r="DE34" s="28"/>
      <c r="DF34" s="28"/>
      <c r="DG34" s="28"/>
      <c r="DH34" s="28"/>
      <c r="DI34" s="28"/>
      <c r="DJ34" s="28"/>
      <c r="DK34" s="29"/>
      <c r="DL34" s="29"/>
      <c r="DM34" s="29"/>
      <c r="DN34" s="29"/>
      <c r="DO34" s="29"/>
      <c r="DP34" s="29"/>
      <c r="DQ34" s="29"/>
      <c r="DR34" s="29"/>
      <c r="DS34" s="22"/>
      <c r="DT34" s="22"/>
      <c r="DU34" s="22"/>
      <c r="DV34" s="22"/>
    </row>
    <row r="35" spans="61:126" x14ac:dyDescent="0.25">
      <c r="BI35" s="22"/>
      <c r="BJ35" s="22"/>
      <c r="BK35" s="22"/>
      <c r="BL35" s="22"/>
      <c r="BM35" s="66"/>
      <c r="BN35" s="66"/>
      <c r="BO35" s="23"/>
      <c r="BP35" s="23"/>
      <c r="BQ35" s="23"/>
      <c r="BR35" s="24"/>
      <c r="BS35" s="24"/>
      <c r="BT35" s="68"/>
      <c r="BU35" s="68"/>
      <c r="BV35" s="25"/>
      <c r="BW35" s="26"/>
      <c r="BX35" s="27"/>
      <c r="BY35" s="28"/>
      <c r="BZ35" s="28"/>
      <c r="CA35" s="28"/>
      <c r="CB35" s="28"/>
      <c r="CC35" s="28"/>
      <c r="CD35" s="28"/>
      <c r="CE35" s="28"/>
      <c r="CF35" s="28"/>
      <c r="CG35" s="28"/>
      <c r="CH35" s="28"/>
      <c r="CI35" s="28"/>
      <c r="CJ35" s="28"/>
      <c r="CK35" s="28"/>
      <c r="CL35" s="28"/>
      <c r="CM35" s="28"/>
      <c r="CN35" s="28"/>
      <c r="CO35" s="28"/>
      <c r="CP35" s="28"/>
      <c r="CQ35" s="28"/>
      <c r="CR35" s="28"/>
      <c r="CS35" s="28"/>
      <c r="CT35" s="28"/>
      <c r="CU35" s="28"/>
      <c r="CV35" s="28"/>
      <c r="CW35" s="28"/>
      <c r="CX35" s="28"/>
      <c r="CY35" s="28"/>
      <c r="CZ35" s="28"/>
      <c r="DA35" s="28"/>
      <c r="DB35" s="28"/>
      <c r="DC35" s="28"/>
      <c r="DD35" s="28"/>
      <c r="DE35" s="28"/>
      <c r="DF35" s="28"/>
      <c r="DG35" s="28"/>
      <c r="DH35" s="28"/>
      <c r="DI35" s="28"/>
      <c r="DJ35" s="28"/>
      <c r="DK35" s="29"/>
      <c r="DL35" s="29"/>
      <c r="DM35" s="29"/>
      <c r="DN35" s="29"/>
      <c r="DO35" s="29"/>
      <c r="DP35" s="29"/>
      <c r="DQ35" s="29"/>
      <c r="DR35" s="29"/>
      <c r="DS35" s="22"/>
      <c r="DT35" s="22"/>
      <c r="DU35" s="22"/>
      <c r="DV35" s="22"/>
    </row>
    <row r="36" spans="61:126" x14ac:dyDescent="0.25">
      <c r="BI36" s="22"/>
      <c r="BJ36" s="22"/>
      <c r="BK36" s="22"/>
      <c r="BL36" s="22"/>
      <c r="BM36" s="66"/>
      <c r="BN36" s="66"/>
      <c r="BO36" s="23"/>
      <c r="BP36" s="23"/>
      <c r="BQ36" s="23"/>
      <c r="BR36" s="24"/>
      <c r="BS36" s="24"/>
      <c r="BT36" s="68"/>
      <c r="BU36" s="68"/>
      <c r="BV36" s="25"/>
      <c r="BW36" s="26"/>
      <c r="BX36" s="27"/>
      <c r="BY36" s="28"/>
      <c r="BZ36" s="28"/>
      <c r="CA36" s="28"/>
      <c r="CB36" s="28"/>
      <c r="CC36" s="28"/>
      <c r="CD36" s="28"/>
      <c r="CE36" s="28"/>
      <c r="CF36" s="28"/>
      <c r="CG36" s="28"/>
      <c r="CH36" s="28"/>
      <c r="CI36" s="28"/>
      <c r="CJ36" s="28"/>
      <c r="CK36" s="28"/>
      <c r="CL36" s="28"/>
      <c r="CM36" s="28"/>
      <c r="CN36" s="28"/>
      <c r="CO36" s="28"/>
      <c r="CP36" s="28"/>
      <c r="CQ36" s="28"/>
      <c r="CR36" s="28"/>
      <c r="CS36" s="28"/>
      <c r="CT36" s="28"/>
      <c r="CU36" s="28"/>
      <c r="CV36" s="28"/>
      <c r="CW36" s="28"/>
      <c r="CX36" s="28"/>
      <c r="CY36" s="28"/>
      <c r="CZ36" s="28"/>
      <c r="DA36" s="28"/>
      <c r="DB36" s="28"/>
      <c r="DC36" s="28"/>
      <c r="DD36" s="28"/>
      <c r="DE36" s="28"/>
      <c r="DF36" s="28"/>
      <c r="DG36" s="28"/>
      <c r="DH36" s="28"/>
      <c r="DI36" s="28"/>
      <c r="DJ36" s="28"/>
      <c r="DK36" s="29"/>
      <c r="DL36" s="29"/>
      <c r="DM36" s="29"/>
      <c r="DN36" s="29"/>
      <c r="DO36" s="29"/>
      <c r="DP36" s="29"/>
      <c r="DQ36" s="29"/>
      <c r="DR36" s="29"/>
      <c r="DS36" s="22"/>
      <c r="DT36" s="22"/>
      <c r="DU36" s="22"/>
      <c r="DV36" s="22"/>
    </row>
    <row r="37" spans="61:126" x14ac:dyDescent="0.25">
      <c r="BI37" s="22"/>
      <c r="BJ37" s="22"/>
      <c r="BK37" s="22"/>
      <c r="BL37" s="22"/>
      <c r="BM37" s="66"/>
      <c r="BN37" s="66"/>
      <c r="BO37" s="23"/>
      <c r="BP37" s="23"/>
      <c r="BQ37" s="23"/>
      <c r="BR37" s="24"/>
      <c r="BS37" s="24"/>
      <c r="BT37" s="68"/>
      <c r="BU37" s="68"/>
      <c r="BV37" s="25"/>
      <c r="BW37" s="26"/>
      <c r="BX37" s="27"/>
      <c r="BY37" s="28"/>
      <c r="BZ37" s="28"/>
      <c r="CA37" s="28"/>
      <c r="CB37" s="28"/>
      <c r="CC37" s="28"/>
      <c r="CD37" s="28"/>
      <c r="CE37" s="28"/>
      <c r="CF37" s="28"/>
      <c r="CG37" s="28"/>
      <c r="CH37" s="28"/>
      <c r="CI37" s="28"/>
      <c r="CJ37" s="28"/>
      <c r="CK37" s="28"/>
      <c r="CL37" s="28"/>
      <c r="CM37" s="28"/>
      <c r="CN37" s="28"/>
      <c r="CO37" s="28"/>
      <c r="CP37" s="28"/>
      <c r="CQ37" s="28"/>
      <c r="CR37" s="28"/>
      <c r="CS37" s="28"/>
      <c r="CT37" s="28"/>
      <c r="CU37" s="28"/>
      <c r="CV37" s="28"/>
      <c r="CW37" s="28"/>
      <c r="CX37" s="28"/>
      <c r="CY37" s="28"/>
      <c r="CZ37" s="28"/>
      <c r="DA37" s="28"/>
      <c r="DB37" s="28"/>
      <c r="DC37" s="28"/>
      <c r="DD37" s="28"/>
      <c r="DE37" s="28"/>
      <c r="DF37" s="28"/>
      <c r="DG37" s="28"/>
      <c r="DH37" s="28"/>
      <c r="DI37" s="28"/>
      <c r="DJ37" s="28"/>
      <c r="DK37" s="29"/>
      <c r="DL37" s="29"/>
      <c r="DM37" s="29"/>
      <c r="DN37" s="29"/>
      <c r="DO37" s="29"/>
      <c r="DP37" s="29"/>
      <c r="DQ37" s="29"/>
      <c r="DR37" s="29"/>
      <c r="DS37" s="22"/>
      <c r="DT37" s="22"/>
      <c r="DU37" s="22"/>
      <c r="DV37" s="22"/>
    </row>
    <row r="38" spans="61:126" x14ac:dyDescent="0.25">
      <c r="BI38" s="22"/>
      <c r="BJ38" s="22"/>
      <c r="BK38" s="22"/>
      <c r="BL38" s="22"/>
      <c r="BM38" s="66"/>
      <c r="BN38" s="66"/>
      <c r="BO38" s="23"/>
      <c r="BP38" s="23"/>
      <c r="BQ38" s="23"/>
      <c r="BR38" s="24"/>
      <c r="BS38" s="24"/>
      <c r="BT38" s="68"/>
      <c r="BU38" s="68"/>
      <c r="BV38" s="25"/>
      <c r="BW38" s="26"/>
      <c r="BX38" s="27"/>
      <c r="BY38" s="28"/>
      <c r="BZ38" s="28"/>
      <c r="CA38" s="28"/>
      <c r="CB38" s="28"/>
      <c r="CC38" s="28"/>
      <c r="CD38" s="28"/>
      <c r="CE38" s="28"/>
      <c r="CF38" s="28"/>
      <c r="CG38" s="28"/>
      <c r="CH38" s="28"/>
      <c r="CI38" s="28"/>
      <c r="CJ38" s="28"/>
      <c r="CK38" s="28"/>
      <c r="CL38" s="28"/>
      <c r="CM38" s="28"/>
      <c r="CN38" s="28"/>
      <c r="CO38" s="28"/>
      <c r="CP38" s="28"/>
      <c r="CQ38" s="28"/>
      <c r="CR38" s="28"/>
      <c r="CS38" s="28"/>
      <c r="CT38" s="28"/>
      <c r="CU38" s="28"/>
      <c r="CV38" s="28"/>
      <c r="CW38" s="28"/>
      <c r="CX38" s="28"/>
      <c r="CY38" s="28"/>
      <c r="CZ38" s="28"/>
      <c r="DA38" s="28"/>
      <c r="DB38" s="28"/>
      <c r="DC38" s="28"/>
      <c r="DD38" s="28"/>
      <c r="DE38" s="28"/>
      <c r="DF38" s="28"/>
      <c r="DG38" s="28"/>
      <c r="DH38" s="28"/>
      <c r="DI38" s="28"/>
      <c r="DJ38" s="28"/>
      <c r="DK38" s="29"/>
      <c r="DL38" s="29"/>
      <c r="DM38" s="29"/>
      <c r="DN38" s="29"/>
      <c r="DO38" s="29"/>
      <c r="DP38" s="29"/>
      <c r="DQ38" s="29"/>
      <c r="DR38" s="29"/>
      <c r="DS38" s="22"/>
      <c r="DT38" s="22"/>
      <c r="DU38" s="22"/>
      <c r="DV38" s="22"/>
    </row>
    <row r="39" spans="61:126" x14ac:dyDescent="0.25">
      <c r="BI39" s="22"/>
      <c r="BJ39" s="22"/>
      <c r="BK39" s="22"/>
      <c r="BL39" s="22"/>
      <c r="BM39" s="66"/>
      <c r="BN39" s="66"/>
      <c r="BO39" s="23"/>
      <c r="BP39" s="23"/>
      <c r="BQ39" s="23"/>
      <c r="BR39" s="24"/>
      <c r="BS39" s="24"/>
      <c r="BT39" s="68"/>
      <c r="BU39" s="68"/>
      <c r="BV39" s="25"/>
      <c r="BW39" s="26"/>
      <c r="BX39" s="27"/>
      <c r="BY39" s="28"/>
      <c r="BZ39" s="28"/>
      <c r="CA39" s="28"/>
      <c r="CB39" s="28"/>
      <c r="CC39" s="28"/>
      <c r="CD39" s="28"/>
      <c r="CE39" s="28"/>
      <c r="CF39" s="28"/>
      <c r="CG39" s="28"/>
      <c r="CH39" s="28"/>
      <c r="CI39" s="28"/>
      <c r="CJ39" s="28"/>
      <c r="CK39" s="28"/>
      <c r="CL39" s="28"/>
      <c r="CM39" s="28"/>
      <c r="CN39" s="28"/>
      <c r="CO39" s="28"/>
      <c r="CP39" s="28"/>
      <c r="CQ39" s="28"/>
      <c r="CR39" s="28"/>
      <c r="CS39" s="28"/>
      <c r="CT39" s="28"/>
      <c r="CU39" s="28"/>
      <c r="CV39" s="28"/>
      <c r="CW39" s="28"/>
      <c r="CX39" s="28"/>
      <c r="CY39" s="28"/>
      <c r="CZ39" s="28"/>
      <c r="DA39" s="28"/>
      <c r="DB39" s="28"/>
      <c r="DC39" s="28"/>
      <c r="DD39" s="28"/>
      <c r="DE39" s="28"/>
      <c r="DF39" s="28"/>
      <c r="DG39" s="28"/>
      <c r="DH39" s="28"/>
      <c r="DI39" s="28"/>
      <c r="DJ39" s="28"/>
      <c r="DK39" s="29"/>
      <c r="DL39" s="29"/>
      <c r="DM39" s="29"/>
      <c r="DN39" s="29"/>
      <c r="DO39" s="29"/>
      <c r="DP39" s="29"/>
      <c r="DQ39" s="29"/>
      <c r="DR39" s="29"/>
      <c r="DS39" s="22"/>
      <c r="DT39" s="22"/>
      <c r="DU39" s="22"/>
      <c r="DV39" s="22"/>
    </row>
    <row r="40" spans="61:126" x14ac:dyDescent="0.25">
      <c r="BI40" s="22"/>
      <c r="BJ40" s="22"/>
      <c r="BK40" s="22"/>
      <c r="BL40" s="22"/>
      <c r="BM40" s="66"/>
      <c r="BN40" s="66"/>
      <c r="BO40" s="23"/>
      <c r="BP40" s="23"/>
      <c r="BQ40" s="23"/>
      <c r="BR40" s="24"/>
      <c r="BS40" s="24"/>
      <c r="BT40" s="68"/>
      <c r="BU40" s="68"/>
      <c r="BV40" s="25"/>
      <c r="BW40" s="26"/>
      <c r="BX40" s="27"/>
      <c r="BY40" s="28"/>
      <c r="BZ40" s="28"/>
      <c r="CA40" s="28"/>
      <c r="CB40" s="28"/>
      <c r="CC40" s="28"/>
      <c r="CD40" s="28"/>
      <c r="CE40" s="28"/>
      <c r="CF40" s="28"/>
      <c r="CG40" s="28"/>
      <c r="CH40" s="28"/>
      <c r="CI40" s="28"/>
      <c r="CJ40" s="28"/>
      <c r="CK40" s="28"/>
      <c r="CL40" s="28"/>
      <c r="CM40" s="28"/>
      <c r="CN40" s="28"/>
      <c r="CO40" s="28"/>
      <c r="CP40" s="28"/>
      <c r="CQ40" s="28"/>
      <c r="CR40" s="28"/>
      <c r="CS40" s="28"/>
      <c r="CT40" s="28"/>
      <c r="CU40" s="28"/>
      <c r="CV40" s="28"/>
      <c r="CW40" s="28"/>
      <c r="CX40" s="28"/>
      <c r="CY40" s="28"/>
      <c r="CZ40" s="28"/>
      <c r="DA40" s="28"/>
      <c r="DB40" s="28"/>
      <c r="DC40" s="28"/>
      <c r="DD40" s="28"/>
      <c r="DE40" s="28"/>
      <c r="DF40" s="28"/>
      <c r="DG40" s="28"/>
      <c r="DH40" s="28"/>
      <c r="DI40" s="28"/>
      <c r="DJ40" s="28"/>
      <c r="DK40" s="29"/>
      <c r="DL40" s="29"/>
      <c r="DM40" s="29"/>
      <c r="DN40" s="29"/>
      <c r="DO40" s="29"/>
      <c r="DP40" s="29"/>
      <c r="DQ40" s="29"/>
      <c r="DR40" s="29"/>
      <c r="DS40" s="22"/>
      <c r="DT40" s="22"/>
      <c r="DU40" s="22"/>
      <c r="DV40" s="22"/>
    </row>
    <row r="41" spans="61:126" x14ac:dyDescent="0.25">
      <c r="BI41" s="22"/>
      <c r="BJ41" s="22"/>
      <c r="BK41" s="22"/>
      <c r="BL41" s="22"/>
      <c r="BM41" s="66"/>
      <c r="BN41" s="66"/>
      <c r="BO41" s="23"/>
      <c r="BP41" s="23"/>
      <c r="BQ41" s="23"/>
      <c r="BR41" s="24"/>
      <c r="BS41" s="24"/>
      <c r="BT41" s="68"/>
      <c r="BU41" s="68"/>
      <c r="BV41" s="25"/>
      <c r="BW41" s="26"/>
      <c r="BX41" s="27"/>
      <c r="BY41" s="28"/>
      <c r="BZ41" s="28"/>
      <c r="CA41" s="28"/>
      <c r="CB41" s="28"/>
      <c r="CC41" s="28"/>
      <c r="CD41" s="28"/>
      <c r="CE41" s="28"/>
      <c r="CF41" s="28"/>
      <c r="CG41" s="28"/>
      <c r="CH41" s="28"/>
      <c r="CI41" s="28"/>
      <c r="CJ41" s="28"/>
      <c r="CK41" s="28"/>
      <c r="CL41" s="28"/>
      <c r="CM41" s="28"/>
      <c r="CN41" s="28"/>
      <c r="CO41" s="28"/>
      <c r="CP41" s="28"/>
      <c r="CQ41" s="28"/>
      <c r="CR41" s="28"/>
      <c r="CS41" s="28"/>
      <c r="CT41" s="28"/>
      <c r="CU41" s="28"/>
      <c r="CV41" s="28"/>
      <c r="CW41" s="28"/>
      <c r="CX41" s="28"/>
      <c r="CY41" s="28"/>
      <c r="CZ41" s="28"/>
      <c r="DA41" s="28"/>
      <c r="DB41" s="28"/>
      <c r="DC41" s="28"/>
      <c r="DD41" s="28"/>
      <c r="DE41" s="28"/>
      <c r="DF41" s="28"/>
      <c r="DG41" s="28"/>
      <c r="DH41" s="28"/>
      <c r="DI41" s="28"/>
      <c r="DJ41" s="28"/>
      <c r="DK41" s="29"/>
      <c r="DL41" s="29"/>
      <c r="DM41" s="29"/>
      <c r="DN41" s="29"/>
      <c r="DO41" s="29"/>
      <c r="DP41" s="29"/>
      <c r="DQ41" s="29"/>
      <c r="DR41" s="29"/>
      <c r="DS41" s="22"/>
      <c r="DT41" s="22"/>
      <c r="DU41" s="22"/>
      <c r="DV41" s="22"/>
    </row>
    <row r="42" spans="61:126" x14ac:dyDescent="0.25">
      <c r="BI42" s="22"/>
      <c r="BJ42" s="22"/>
      <c r="BK42" s="22"/>
      <c r="BL42" s="22"/>
      <c r="BM42" s="66"/>
      <c r="BN42" s="66"/>
      <c r="BO42" s="23"/>
      <c r="BP42" s="23"/>
      <c r="BQ42" s="23"/>
      <c r="BR42" s="24"/>
      <c r="BS42" s="24"/>
      <c r="BT42" s="68"/>
      <c r="BU42" s="68"/>
      <c r="BV42" s="25"/>
      <c r="BW42" s="26"/>
      <c r="BX42" s="27"/>
      <c r="BY42" s="28"/>
      <c r="BZ42" s="28"/>
      <c r="CA42" s="28"/>
      <c r="CB42" s="28"/>
      <c r="CC42" s="28"/>
      <c r="CD42" s="28"/>
      <c r="CE42" s="28"/>
      <c r="CF42" s="28"/>
      <c r="CG42" s="28"/>
      <c r="CH42" s="28"/>
      <c r="CI42" s="28"/>
      <c r="CJ42" s="28"/>
      <c r="CK42" s="28"/>
      <c r="CL42" s="28"/>
      <c r="CM42" s="28"/>
      <c r="CN42" s="28"/>
      <c r="CO42" s="28"/>
      <c r="CP42" s="28"/>
      <c r="CQ42" s="28"/>
      <c r="CR42" s="28"/>
      <c r="CS42" s="28"/>
      <c r="CT42" s="28"/>
      <c r="CU42" s="28"/>
      <c r="CV42" s="28"/>
      <c r="CW42" s="28"/>
      <c r="CX42" s="28"/>
      <c r="CY42" s="28"/>
      <c r="CZ42" s="28"/>
      <c r="DA42" s="28"/>
      <c r="DB42" s="28"/>
      <c r="DC42" s="28"/>
      <c r="DD42" s="28"/>
      <c r="DE42" s="28"/>
      <c r="DF42" s="28"/>
      <c r="DG42" s="28"/>
      <c r="DH42" s="28"/>
      <c r="DI42" s="28"/>
      <c r="DJ42" s="28"/>
      <c r="DK42" s="29"/>
      <c r="DL42" s="29"/>
      <c r="DM42" s="29"/>
      <c r="DN42" s="29"/>
      <c r="DO42" s="29"/>
      <c r="DP42" s="29"/>
      <c r="DQ42" s="29"/>
      <c r="DR42" s="29"/>
      <c r="DS42" s="22"/>
      <c r="DT42" s="22"/>
      <c r="DU42" s="22"/>
      <c r="DV42" s="22"/>
    </row>
    <row r="43" spans="61:126" x14ac:dyDescent="0.25">
      <c r="BI43" s="22"/>
      <c r="BJ43" s="22"/>
      <c r="BK43" s="22"/>
      <c r="BL43" s="22"/>
      <c r="BM43" s="66"/>
      <c r="BN43" s="66"/>
      <c r="BO43" s="23"/>
      <c r="BP43" s="23"/>
      <c r="BQ43" s="23"/>
      <c r="BR43" s="24"/>
      <c r="BS43" s="24"/>
      <c r="BT43" s="68"/>
      <c r="BU43" s="68"/>
      <c r="BV43" s="25"/>
      <c r="BW43" s="26"/>
      <c r="BX43" s="27"/>
      <c r="BY43" s="28"/>
      <c r="BZ43" s="28"/>
      <c r="CA43" s="28"/>
      <c r="CB43" s="28"/>
      <c r="CC43" s="28"/>
      <c r="CD43" s="28"/>
      <c r="CE43" s="28"/>
      <c r="CF43" s="28"/>
      <c r="CG43" s="28"/>
      <c r="CH43" s="28"/>
      <c r="CI43" s="28"/>
      <c r="CJ43" s="28"/>
      <c r="CK43" s="28"/>
      <c r="CL43" s="28"/>
      <c r="CM43" s="28"/>
      <c r="CN43" s="28"/>
      <c r="CO43" s="28"/>
      <c r="CP43" s="28"/>
      <c r="CQ43" s="28"/>
      <c r="CR43" s="28"/>
      <c r="CS43" s="28"/>
      <c r="CT43" s="28"/>
      <c r="CU43" s="28"/>
      <c r="CV43" s="28"/>
      <c r="CW43" s="28"/>
      <c r="CX43" s="28"/>
      <c r="CY43" s="28"/>
      <c r="CZ43" s="28"/>
      <c r="DA43" s="28"/>
      <c r="DB43" s="28"/>
      <c r="DC43" s="28"/>
      <c r="DD43" s="28"/>
      <c r="DE43" s="28"/>
      <c r="DF43" s="28"/>
      <c r="DG43" s="28"/>
      <c r="DH43" s="28"/>
      <c r="DI43" s="28"/>
      <c r="DJ43" s="28"/>
      <c r="DK43" s="29"/>
      <c r="DL43" s="29"/>
      <c r="DM43" s="29"/>
      <c r="DN43" s="29"/>
      <c r="DO43" s="29"/>
      <c r="DP43" s="29"/>
      <c r="DQ43" s="29"/>
      <c r="DR43" s="29"/>
      <c r="DS43" s="22"/>
      <c r="DT43" s="22"/>
      <c r="DU43" s="22"/>
      <c r="DV43" s="22"/>
    </row>
    <row r="44" spans="61:126" x14ac:dyDescent="0.25">
      <c r="BI44" s="22"/>
      <c r="BJ44" s="22"/>
      <c r="BK44" s="22"/>
      <c r="BL44" s="22"/>
      <c r="BM44" s="66"/>
      <c r="BN44" s="66"/>
      <c r="BO44" s="23"/>
      <c r="BP44" s="23"/>
      <c r="BQ44" s="23"/>
      <c r="BR44" s="24"/>
      <c r="BS44" s="24"/>
      <c r="BT44" s="68"/>
      <c r="BU44" s="68"/>
      <c r="BV44" s="25"/>
      <c r="BW44" s="26"/>
      <c r="BX44" s="27"/>
      <c r="BY44" s="28"/>
      <c r="BZ44" s="28"/>
      <c r="CA44" s="28"/>
      <c r="CB44" s="28"/>
      <c r="CC44" s="28"/>
      <c r="CD44" s="28"/>
      <c r="CE44" s="28"/>
      <c r="CF44" s="28"/>
      <c r="CG44" s="28"/>
      <c r="CH44" s="28"/>
      <c r="CI44" s="28"/>
      <c r="CJ44" s="28"/>
      <c r="CK44" s="28"/>
      <c r="CL44" s="28"/>
      <c r="CM44" s="28"/>
      <c r="CN44" s="28"/>
      <c r="CO44" s="28"/>
      <c r="CP44" s="28"/>
      <c r="CQ44" s="28"/>
      <c r="CR44" s="28"/>
      <c r="CS44" s="28"/>
      <c r="CT44" s="28"/>
      <c r="CU44" s="28"/>
      <c r="CV44" s="28"/>
      <c r="CW44" s="28"/>
      <c r="CX44" s="28"/>
      <c r="CY44" s="28"/>
      <c r="CZ44" s="28"/>
      <c r="DA44" s="28"/>
      <c r="DB44" s="28"/>
      <c r="DC44" s="28"/>
      <c r="DD44" s="28"/>
      <c r="DE44" s="28"/>
      <c r="DF44" s="28"/>
      <c r="DG44" s="28"/>
      <c r="DH44" s="28"/>
      <c r="DI44" s="28"/>
      <c r="DJ44" s="28"/>
      <c r="DK44" s="29"/>
      <c r="DL44" s="29"/>
      <c r="DM44" s="29"/>
      <c r="DN44" s="29"/>
      <c r="DO44" s="29"/>
      <c r="DP44" s="29"/>
      <c r="DQ44" s="29"/>
      <c r="DR44" s="29"/>
      <c r="DS44" s="22"/>
      <c r="DT44" s="22"/>
      <c r="DU44" s="22"/>
      <c r="DV44" s="22"/>
    </row>
    <row r="45" spans="61:126" x14ac:dyDescent="0.25">
      <c r="BI45" s="22"/>
      <c r="BJ45" s="22"/>
      <c r="BK45" s="22"/>
      <c r="BL45" s="22"/>
      <c r="BM45" s="66"/>
      <c r="BN45" s="66"/>
      <c r="BO45" s="23"/>
      <c r="BP45" s="23"/>
      <c r="BQ45" s="23"/>
      <c r="BR45" s="24"/>
      <c r="BS45" s="24"/>
      <c r="BT45" s="68"/>
      <c r="BU45" s="68"/>
      <c r="BV45" s="25"/>
      <c r="BW45" s="26"/>
      <c r="BX45" s="27"/>
      <c r="BY45" s="28"/>
      <c r="BZ45" s="28"/>
      <c r="CA45" s="28"/>
      <c r="CB45" s="28"/>
      <c r="CC45" s="28"/>
      <c r="CD45" s="28"/>
      <c r="CE45" s="28"/>
      <c r="CF45" s="28"/>
      <c r="CG45" s="28"/>
      <c r="CH45" s="28"/>
      <c r="CI45" s="28"/>
      <c r="CJ45" s="28"/>
      <c r="CK45" s="28"/>
      <c r="CL45" s="28"/>
      <c r="CM45" s="28"/>
      <c r="CN45" s="28"/>
      <c r="CO45" s="28"/>
      <c r="CP45" s="28"/>
      <c r="CQ45" s="28"/>
      <c r="CR45" s="28"/>
      <c r="CS45" s="28"/>
      <c r="CT45" s="28"/>
      <c r="CU45" s="28"/>
      <c r="CV45" s="28"/>
      <c r="CW45" s="28"/>
      <c r="CX45" s="28"/>
      <c r="CY45" s="28"/>
      <c r="CZ45" s="28"/>
      <c r="DA45" s="28"/>
      <c r="DB45" s="28"/>
      <c r="DC45" s="28"/>
      <c r="DD45" s="28"/>
      <c r="DE45" s="28"/>
      <c r="DF45" s="28"/>
      <c r="DG45" s="28"/>
      <c r="DH45" s="28"/>
      <c r="DI45" s="28"/>
      <c r="DJ45" s="28"/>
      <c r="DK45" s="29"/>
      <c r="DL45" s="29"/>
      <c r="DM45" s="29"/>
      <c r="DN45" s="29"/>
      <c r="DO45" s="29"/>
      <c r="DP45" s="29"/>
      <c r="DQ45" s="29"/>
      <c r="DR45" s="29"/>
      <c r="DS45" s="22"/>
      <c r="DT45" s="22"/>
      <c r="DU45" s="22"/>
      <c r="DV45" s="22"/>
    </row>
    <row r="46" spans="61:126" x14ac:dyDescent="0.25">
      <c r="BI46" s="22"/>
      <c r="BJ46" s="22"/>
      <c r="BK46" s="22"/>
      <c r="BL46" s="22"/>
      <c r="BM46" s="66"/>
      <c r="BN46" s="66"/>
      <c r="BO46" s="23"/>
      <c r="BP46" s="23"/>
      <c r="BQ46" s="23"/>
      <c r="BR46" s="24"/>
      <c r="BS46" s="24"/>
      <c r="BT46" s="68"/>
      <c r="BU46" s="68"/>
      <c r="BV46" s="25"/>
      <c r="BW46" s="26"/>
      <c r="BX46" s="27"/>
      <c r="BY46" s="28"/>
      <c r="BZ46" s="28"/>
      <c r="CA46" s="28"/>
      <c r="CB46" s="28"/>
      <c r="CC46" s="28"/>
      <c r="CD46" s="28"/>
      <c r="CE46" s="28"/>
      <c r="CF46" s="28"/>
      <c r="CG46" s="28"/>
      <c r="CH46" s="28"/>
      <c r="CI46" s="28"/>
      <c r="CJ46" s="28"/>
      <c r="CK46" s="28"/>
      <c r="CL46" s="28"/>
      <c r="CM46" s="28"/>
      <c r="CN46" s="28"/>
      <c r="CO46" s="28"/>
      <c r="CP46" s="28"/>
      <c r="CQ46" s="28"/>
      <c r="CR46" s="28"/>
      <c r="CS46" s="28"/>
      <c r="CT46" s="28"/>
      <c r="CU46" s="28"/>
      <c r="CV46" s="28"/>
      <c r="CW46" s="28"/>
      <c r="CX46" s="28"/>
      <c r="CY46" s="28"/>
      <c r="CZ46" s="28"/>
      <c r="DA46" s="28"/>
      <c r="DB46" s="28"/>
      <c r="DC46" s="28"/>
      <c r="DD46" s="28"/>
      <c r="DE46" s="28"/>
      <c r="DF46" s="28"/>
      <c r="DG46" s="28"/>
      <c r="DH46" s="28"/>
      <c r="DI46" s="28"/>
      <c r="DJ46" s="28"/>
      <c r="DK46" s="29"/>
      <c r="DL46" s="29"/>
      <c r="DM46" s="29"/>
      <c r="DN46" s="29"/>
      <c r="DO46" s="29"/>
      <c r="DP46" s="29"/>
      <c r="DQ46" s="29"/>
      <c r="DR46" s="29"/>
      <c r="DS46" s="22"/>
      <c r="DT46" s="22"/>
      <c r="DU46" s="22"/>
      <c r="DV46" s="22"/>
    </row>
    <row r="47" spans="61:126" x14ac:dyDescent="0.25">
      <c r="BI47" s="22"/>
      <c r="BJ47" s="22"/>
      <c r="BK47" s="22"/>
      <c r="BL47" s="22"/>
      <c r="BM47" s="66"/>
      <c r="BN47" s="66"/>
      <c r="BO47" s="23"/>
      <c r="BP47" s="23"/>
      <c r="BQ47" s="23"/>
      <c r="BR47" s="24"/>
      <c r="BS47" s="24"/>
      <c r="BT47" s="68"/>
      <c r="BU47" s="68"/>
      <c r="BV47" s="25"/>
      <c r="BW47" s="26"/>
      <c r="BX47" s="27"/>
      <c r="BY47" s="28"/>
      <c r="BZ47" s="28"/>
      <c r="CA47" s="28"/>
      <c r="CB47" s="28"/>
      <c r="CC47" s="28"/>
      <c r="CD47" s="28"/>
      <c r="CE47" s="28"/>
      <c r="CF47" s="28"/>
      <c r="CG47" s="28"/>
      <c r="CH47" s="28"/>
      <c r="CI47" s="28"/>
      <c r="CJ47" s="28"/>
      <c r="CK47" s="28"/>
      <c r="CL47" s="28"/>
      <c r="CM47" s="28"/>
      <c r="CN47" s="28"/>
      <c r="CO47" s="28"/>
      <c r="CP47" s="28"/>
      <c r="CQ47" s="28"/>
      <c r="CR47" s="28"/>
      <c r="CS47" s="28"/>
      <c r="CT47" s="28"/>
      <c r="CU47" s="28"/>
      <c r="CV47" s="28"/>
      <c r="CW47" s="28"/>
      <c r="CX47" s="28"/>
      <c r="CY47" s="28"/>
      <c r="CZ47" s="28"/>
      <c r="DA47" s="28"/>
      <c r="DB47" s="28"/>
      <c r="DC47" s="28"/>
      <c r="DD47" s="28"/>
      <c r="DE47" s="28"/>
      <c r="DF47" s="28"/>
      <c r="DG47" s="28"/>
      <c r="DH47" s="28"/>
      <c r="DI47" s="28"/>
      <c r="DJ47" s="28"/>
      <c r="DK47" s="29"/>
      <c r="DL47" s="29"/>
      <c r="DM47" s="29"/>
      <c r="DN47" s="29"/>
      <c r="DO47" s="29"/>
      <c r="DP47" s="29"/>
      <c r="DQ47" s="29"/>
      <c r="DR47" s="29"/>
      <c r="DS47" s="22"/>
      <c r="DT47" s="22"/>
      <c r="DU47" s="22"/>
      <c r="DV47" s="22"/>
    </row>
    <row r="48" spans="61:126" x14ac:dyDescent="0.25">
      <c r="BI48" s="22"/>
      <c r="BJ48" s="22"/>
      <c r="BK48" s="22"/>
      <c r="BL48" s="22"/>
      <c r="BM48" s="66"/>
      <c r="BN48" s="66"/>
      <c r="BO48" s="23"/>
      <c r="BP48" s="23"/>
      <c r="BQ48" s="23"/>
      <c r="BR48" s="24"/>
      <c r="BS48" s="24"/>
      <c r="BT48" s="68"/>
      <c r="BU48" s="68"/>
      <c r="BV48" s="25"/>
      <c r="BW48" s="26"/>
      <c r="BX48" s="27"/>
      <c r="BY48" s="28"/>
      <c r="BZ48" s="28"/>
      <c r="CA48" s="28"/>
      <c r="CB48" s="28"/>
      <c r="CC48" s="28"/>
      <c r="CD48" s="28"/>
      <c r="CE48" s="28"/>
      <c r="CF48" s="28"/>
      <c r="CG48" s="28"/>
      <c r="CH48" s="28"/>
      <c r="CI48" s="28"/>
      <c r="CJ48" s="28"/>
      <c r="CK48" s="28"/>
      <c r="CL48" s="28"/>
      <c r="CM48" s="28"/>
      <c r="CN48" s="28"/>
      <c r="CO48" s="28"/>
      <c r="CP48" s="28"/>
      <c r="CQ48" s="28"/>
      <c r="CR48" s="28"/>
      <c r="CS48" s="28"/>
      <c r="CT48" s="28"/>
      <c r="CU48" s="28"/>
      <c r="CV48" s="28"/>
      <c r="CW48" s="28"/>
      <c r="CX48" s="28"/>
      <c r="CY48" s="28"/>
      <c r="CZ48" s="28"/>
      <c r="DA48" s="28"/>
      <c r="DB48" s="28"/>
      <c r="DC48" s="28"/>
      <c r="DD48" s="28"/>
      <c r="DE48" s="28"/>
      <c r="DF48" s="28"/>
      <c r="DG48" s="28"/>
      <c r="DH48" s="28"/>
      <c r="DI48" s="28"/>
      <c r="DJ48" s="28"/>
      <c r="DK48" s="29"/>
      <c r="DL48" s="29"/>
      <c r="DM48" s="29"/>
      <c r="DN48" s="29"/>
      <c r="DO48" s="29"/>
      <c r="DP48" s="29"/>
      <c r="DQ48" s="29"/>
      <c r="DR48" s="29"/>
      <c r="DS48" s="22"/>
      <c r="DT48" s="22"/>
      <c r="DU48" s="22"/>
      <c r="DV48" s="22"/>
    </row>
    <row r="49" spans="15:126" x14ac:dyDescent="0.25">
      <c r="BI49" s="22"/>
      <c r="BJ49" s="22"/>
      <c r="BK49" s="22"/>
      <c r="BL49" s="22"/>
      <c r="BM49" s="66"/>
      <c r="BN49" s="66"/>
      <c r="BO49" s="23"/>
      <c r="BP49" s="23"/>
      <c r="BQ49" s="23"/>
      <c r="BR49" s="24"/>
      <c r="BS49" s="24"/>
      <c r="BT49" s="68"/>
      <c r="BU49" s="68"/>
      <c r="BV49" s="25"/>
      <c r="BW49" s="26"/>
      <c r="BX49" s="27"/>
      <c r="BY49" s="28"/>
      <c r="BZ49" s="28"/>
      <c r="CA49" s="28"/>
      <c r="CB49" s="28"/>
      <c r="CC49" s="28"/>
      <c r="CD49" s="28"/>
      <c r="CE49" s="28"/>
      <c r="CF49" s="28"/>
      <c r="CG49" s="28"/>
      <c r="CH49" s="28"/>
      <c r="CI49" s="28"/>
      <c r="CJ49" s="28"/>
      <c r="CK49" s="28"/>
      <c r="CL49" s="28"/>
      <c r="CM49" s="28"/>
      <c r="CN49" s="28"/>
      <c r="CO49" s="28"/>
      <c r="CP49" s="28"/>
      <c r="CQ49" s="28"/>
      <c r="CR49" s="28"/>
      <c r="CS49" s="28"/>
      <c r="CT49" s="28"/>
      <c r="CU49" s="28"/>
      <c r="CV49" s="28"/>
      <c r="CW49" s="28"/>
      <c r="CX49" s="28"/>
      <c r="CY49" s="28"/>
      <c r="CZ49" s="28"/>
      <c r="DA49" s="28"/>
      <c r="DB49" s="28"/>
      <c r="DC49" s="28"/>
      <c r="DD49" s="28"/>
      <c r="DE49" s="28"/>
      <c r="DF49" s="28"/>
      <c r="DG49" s="28"/>
      <c r="DH49" s="28"/>
      <c r="DI49" s="28"/>
      <c r="DJ49" s="28"/>
      <c r="DK49" s="29"/>
      <c r="DL49" s="29"/>
      <c r="DM49" s="29"/>
      <c r="DN49" s="29"/>
      <c r="DO49" s="29"/>
      <c r="DP49" s="29"/>
      <c r="DQ49" s="29"/>
      <c r="DR49" s="29"/>
      <c r="DS49" s="22"/>
      <c r="DT49" s="22"/>
      <c r="DU49" s="22"/>
      <c r="DV49" s="22"/>
    </row>
    <row r="50" spans="15:126" x14ac:dyDescent="0.25">
      <c r="BI50" s="22"/>
      <c r="BJ50" s="22"/>
      <c r="BK50" s="22"/>
      <c r="BL50" s="22"/>
      <c r="BM50" s="66"/>
      <c r="BN50" s="66"/>
      <c r="BO50" s="23"/>
      <c r="BP50" s="23"/>
      <c r="BQ50" s="23"/>
      <c r="BR50" s="24"/>
      <c r="BS50" s="24"/>
      <c r="BT50" s="68"/>
      <c r="BU50" s="68"/>
      <c r="BV50" s="25"/>
      <c r="BW50" s="26"/>
      <c r="BX50" s="27"/>
      <c r="BY50" s="28"/>
      <c r="BZ50" s="28"/>
      <c r="CA50" s="28"/>
      <c r="CB50" s="28"/>
      <c r="CC50" s="28"/>
      <c r="CD50" s="28"/>
      <c r="CE50" s="28"/>
      <c r="CF50" s="28"/>
      <c r="CG50" s="28"/>
      <c r="CH50" s="28"/>
      <c r="CI50" s="28"/>
      <c r="CJ50" s="28"/>
      <c r="CK50" s="28"/>
      <c r="CL50" s="28"/>
      <c r="CM50" s="28"/>
      <c r="CN50" s="28"/>
      <c r="CO50" s="28"/>
      <c r="CP50" s="28"/>
      <c r="CQ50" s="28"/>
      <c r="CR50" s="28"/>
      <c r="CS50" s="28"/>
      <c r="CT50" s="28"/>
      <c r="CU50" s="28"/>
      <c r="CV50" s="28"/>
      <c r="CW50" s="28"/>
      <c r="CX50" s="28"/>
      <c r="CY50" s="28"/>
      <c r="CZ50" s="28"/>
      <c r="DA50" s="28"/>
      <c r="DB50" s="28"/>
      <c r="DC50" s="28"/>
      <c r="DD50" s="28"/>
      <c r="DE50" s="28"/>
      <c r="DF50" s="28"/>
      <c r="DG50" s="28"/>
      <c r="DH50" s="28"/>
      <c r="DI50" s="28"/>
      <c r="DJ50" s="28"/>
      <c r="DK50" s="29"/>
      <c r="DL50" s="29"/>
      <c r="DM50" s="29"/>
      <c r="DN50" s="29"/>
      <c r="DO50" s="29"/>
      <c r="DP50" s="29"/>
      <c r="DQ50" s="29"/>
      <c r="DR50" s="29"/>
      <c r="DS50" s="22"/>
      <c r="DT50" s="22"/>
      <c r="DU50" s="22"/>
      <c r="DV50" s="22"/>
    </row>
    <row r="51" spans="15:126" x14ac:dyDescent="0.25">
      <c r="BI51" s="22"/>
      <c r="BJ51" s="22"/>
      <c r="BK51" s="22"/>
      <c r="BL51" s="22"/>
      <c r="BM51" s="66"/>
      <c r="BN51" s="66"/>
      <c r="BO51" s="23"/>
      <c r="BP51" s="23"/>
      <c r="BQ51" s="23"/>
      <c r="BR51" s="24"/>
      <c r="BS51" s="24"/>
      <c r="BT51" s="68"/>
      <c r="BU51" s="68"/>
      <c r="BV51" s="25"/>
      <c r="BW51" s="26"/>
      <c r="BX51" s="27"/>
      <c r="BY51" s="28"/>
      <c r="BZ51" s="28"/>
      <c r="CA51" s="28"/>
      <c r="CB51" s="28"/>
      <c r="CC51" s="28"/>
      <c r="CD51" s="28"/>
      <c r="CE51" s="28"/>
      <c r="CF51" s="28"/>
      <c r="CG51" s="28"/>
      <c r="CH51" s="28"/>
      <c r="CI51" s="28"/>
      <c r="CJ51" s="28"/>
      <c r="CK51" s="28"/>
      <c r="CL51" s="28"/>
      <c r="CM51" s="28"/>
      <c r="CN51" s="28"/>
      <c r="CO51" s="28"/>
      <c r="CP51" s="28"/>
      <c r="CQ51" s="28"/>
      <c r="CR51" s="28"/>
      <c r="CS51" s="28"/>
      <c r="CT51" s="28"/>
      <c r="CU51" s="28"/>
      <c r="CV51" s="28"/>
      <c r="CW51" s="28"/>
      <c r="CX51" s="28"/>
      <c r="CY51" s="28"/>
      <c r="CZ51" s="28"/>
      <c r="DA51" s="28"/>
      <c r="DB51" s="28"/>
      <c r="DC51" s="28"/>
      <c r="DD51" s="28"/>
      <c r="DE51" s="28"/>
      <c r="DF51" s="28"/>
      <c r="DG51" s="28"/>
      <c r="DH51" s="28"/>
      <c r="DI51" s="28"/>
      <c r="DJ51" s="28"/>
      <c r="DK51" s="29"/>
      <c r="DL51" s="29"/>
      <c r="DM51" s="29"/>
      <c r="DN51" s="29"/>
      <c r="DO51" s="29"/>
      <c r="DP51" s="29"/>
      <c r="DQ51" s="29"/>
      <c r="DR51" s="29"/>
      <c r="DS51" s="22"/>
      <c r="DT51" s="22"/>
      <c r="DU51" s="22"/>
      <c r="DV51" s="22"/>
    </row>
    <row r="52" spans="15:126" x14ac:dyDescent="0.25">
      <c r="BI52" s="22"/>
      <c r="BJ52" s="22"/>
      <c r="BK52" s="22"/>
      <c r="BL52" s="22"/>
      <c r="BM52" s="66"/>
      <c r="BN52" s="66"/>
      <c r="BO52" s="23"/>
      <c r="BP52" s="23"/>
      <c r="BQ52" s="23"/>
      <c r="BR52" s="24"/>
      <c r="BS52" s="24"/>
      <c r="BT52" s="68"/>
      <c r="BU52" s="68"/>
      <c r="BV52" s="25"/>
      <c r="BW52" s="26"/>
      <c r="BX52" s="27"/>
      <c r="BY52" s="28"/>
      <c r="BZ52" s="28"/>
      <c r="CA52" s="28"/>
      <c r="CB52" s="28"/>
      <c r="CC52" s="28"/>
      <c r="CD52" s="28"/>
      <c r="CE52" s="28"/>
      <c r="CF52" s="28"/>
      <c r="CG52" s="28"/>
      <c r="CH52" s="28"/>
      <c r="CI52" s="28"/>
      <c r="CJ52" s="28"/>
      <c r="CK52" s="28"/>
      <c r="CL52" s="28"/>
      <c r="CM52" s="28"/>
      <c r="CN52" s="28"/>
      <c r="CO52" s="28"/>
      <c r="CP52" s="28"/>
      <c r="CQ52" s="28"/>
      <c r="CR52" s="28"/>
      <c r="CS52" s="28"/>
      <c r="CT52" s="28"/>
      <c r="CU52" s="28"/>
      <c r="CV52" s="28"/>
      <c r="CW52" s="28"/>
      <c r="CX52" s="28"/>
      <c r="CY52" s="28"/>
      <c r="CZ52" s="28"/>
      <c r="DA52" s="28"/>
      <c r="DB52" s="28"/>
      <c r="DC52" s="28"/>
      <c r="DD52" s="28"/>
      <c r="DE52" s="28"/>
      <c r="DF52" s="28"/>
      <c r="DG52" s="28"/>
      <c r="DH52" s="28"/>
      <c r="DI52" s="28"/>
      <c r="DJ52" s="28"/>
      <c r="DK52" s="29"/>
      <c r="DL52" s="29"/>
      <c r="DM52" s="29"/>
      <c r="DN52" s="29"/>
      <c r="DO52" s="29"/>
      <c r="DP52" s="29"/>
      <c r="DQ52" s="29"/>
      <c r="DR52" s="29"/>
      <c r="DS52" s="22"/>
      <c r="DT52" s="22"/>
      <c r="DU52" s="22"/>
      <c r="DV52" s="22"/>
    </row>
    <row r="53" spans="15:126" x14ac:dyDescent="0.25">
      <c r="BI53" s="22"/>
      <c r="BJ53" s="22"/>
      <c r="BK53" s="22"/>
      <c r="BL53" s="22"/>
      <c r="BM53" s="66"/>
      <c r="BN53" s="66"/>
      <c r="BO53" s="23"/>
      <c r="BP53" s="23"/>
      <c r="BQ53" s="23"/>
      <c r="BR53" s="24"/>
      <c r="BS53" s="24"/>
      <c r="BT53" s="68"/>
      <c r="BU53" s="68"/>
      <c r="BV53" s="25"/>
      <c r="BW53" s="26"/>
      <c r="BX53" s="27"/>
      <c r="BY53" s="28"/>
      <c r="BZ53" s="28"/>
      <c r="CA53" s="28"/>
      <c r="CB53" s="28"/>
      <c r="CC53" s="28"/>
      <c r="CD53" s="28"/>
      <c r="CE53" s="28"/>
      <c r="CF53" s="28"/>
      <c r="CG53" s="28"/>
      <c r="CH53" s="28"/>
      <c r="CI53" s="28"/>
      <c r="CJ53" s="28"/>
      <c r="CK53" s="28"/>
      <c r="CL53" s="28"/>
      <c r="CM53" s="28"/>
      <c r="CN53" s="28"/>
      <c r="CO53" s="28"/>
      <c r="CP53" s="28"/>
      <c r="CQ53" s="28"/>
      <c r="CR53" s="28"/>
      <c r="CS53" s="28"/>
      <c r="CT53" s="28"/>
      <c r="CU53" s="28"/>
      <c r="CV53" s="28"/>
      <c r="CW53" s="28"/>
      <c r="CX53" s="28"/>
      <c r="CY53" s="28"/>
      <c r="CZ53" s="28"/>
      <c r="DA53" s="28"/>
      <c r="DB53" s="28"/>
      <c r="DC53" s="28"/>
      <c r="DD53" s="28"/>
      <c r="DE53" s="28"/>
      <c r="DF53" s="28"/>
      <c r="DG53" s="28"/>
      <c r="DH53" s="28"/>
      <c r="DI53" s="28"/>
      <c r="DJ53" s="28"/>
      <c r="DK53" s="29"/>
      <c r="DL53" s="29"/>
      <c r="DM53" s="29"/>
      <c r="DN53" s="29"/>
      <c r="DO53" s="29"/>
      <c r="DP53" s="29"/>
      <c r="DQ53" s="29"/>
      <c r="DR53" s="29"/>
      <c r="DS53" s="22"/>
      <c r="DT53" s="22"/>
      <c r="DU53" s="22"/>
      <c r="DV53" s="22"/>
    </row>
    <row r="54" spans="15:126" x14ac:dyDescent="0.25">
      <c r="BI54" s="22"/>
      <c r="BJ54" s="22"/>
      <c r="BK54" s="22"/>
      <c r="BL54" s="22"/>
      <c r="BM54" s="66"/>
      <c r="BN54" s="66"/>
      <c r="BO54" s="23"/>
      <c r="BP54" s="23"/>
      <c r="BQ54" s="23"/>
      <c r="BR54" s="24"/>
      <c r="BS54" s="24"/>
      <c r="BT54" s="68"/>
      <c r="BU54" s="68"/>
      <c r="BV54" s="25"/>
      <c r="BW54" s="26"/>
      <c r="BX54" s="27"/>
      <c r="BY54" s="28"/>
      <c r="BZ54" s="28"/>
      <c r="CA54" s="28"/>
      <c r="CB54" s="28"/>
      <c r="CC54" s="28"/>
      <c r="CD54" s="28"/>
      <c r="CE54" s="28"/>
      <c r="CF54" s="28"/>
      <c r="CG54" s="28"/>
      <c r="CH54" s="28"/>
      <c r="CI54" s="28"/>
      <c r="CJ54" s="28"/>
      <c r="CK54" s="28"/>
      <c r="CL54" s="28"/>
      <c r="CM54" s="28"/>
      <c r="CN54" s="28"/>
      <c r="CO54" s="28"/>
      <c r="CP54" s="28"/>
      <c r="CQ54" s="28"/>
      <c r="CR54" s="28"/>
      <c r="CS54" s="28"/>
      <c r="CT54" s="28"/>
      <c r="CU54" s="28"/>
      <c r="CV54" s="28"/>
      <c r="CW54" s="28"/>
      <c r="CX54" s="28"/>
      <c r="CY54" s="28"/>
      <c r="CZ54" s="28"/>
      <c r="DA54" s="28"/>
      <c r="DB54" s="28"/>
      <c r="DC54" s="28"/>
      <c r="DD54" s="28"/>
      <c r="DE54" s="28"/>
      <c r="DF54" s="28"/>
      <c r="DG54" s="28"/>
      <c r="DH54" s="28"/>
      <c r="DI54" s="28"/>
      <c r="DJ54" s="28"/>
      <c r="DK54" s="29"/>
      <c r="DL54" s="29"/>
      <c r="DM54" s="29"/>
      <c r="DN54" s="29"/>
      <c r="DO54" s="29"/>
      <c r="DP54" s="29"/>
      <c r="DQ54" s="29"/>
      <c r="DR54" s="29"/>
      <c r="DS54" s="22"/>
      <c r="DT54" s="22"/>
      <c r="DU54" s="22"/>
      <c r="DV54" s="22"/>
    </row>
    <row r="55" spans="15:126" x14ac:dyDescent="0.25">
      <c r="BI55" s="22"/>
      <c r="BJ55" s="22"/>
      <c r="BK55" s="22"/>
      <c r="BL55" s="22"/>
      <c r="BM55" s="66"/>
      <c r="BN55" s="66"/>
      <c r="BO55" s="23"/>
      <c r="BP55" s="23"/>
      <c r="BQ55" s="23"/>
      <c r="BR55" s="24"/>
      <c r="BS55" s="24"/>
      <c r="BT55" s="68"/>
      <c r="BU55" s="68"/>
      <c r="BV55" s="25"/>
      <c r="BW55" s="26"/>
      <c r="BX55" s="27"/>
      <c r="BY55" s="28"/>
      <c r="BZ55" s="28"/>
      <c r="CA55" s="28"/>
      <c r="CB55" s="28"/>
      <c r="CC55" s="28"/>
      <c r="CD55" s="28"/>
      <c r="CE55" s="28"/>
      <c r="CF55" s="28"/>
      <c r="CG55" s="28"/>
      <c r="CH55" s="28"/>
      <c r="CI55" s="28"/>
      <c r="CJ55" s="28"/>
      <c r="CK55" s="28"/>
      <c r="CL55" s="28"/>
      <c r="CM55" s="28"/>
      <c r="CN55" s="28"/>
      <c r="CO55" s="28"/>
      <c r="CP55" s="28"/>
      <c r="CQ55" s="28"/>
      <c r="CR55" s="28"/>
      <c r="CS55" s="28"/>
      <c r="CT55" s="28"/>
      <c r="CU55" s="28"/>
      <c r="CV55" s="28"/>
      <c r="CW55" s="28"/>
      <c r="CX55" s="28"/>
      <c r="CY55" s="28"/>
      <c r="CZ55" s="28"/>
      <c r="DA55" s="28"/>
      <c r="DB55" s="28"/>
      <c r="DC55" s="28"/>
      <c r="DD55" s="28"/>
      <c r="DE55" s="28"/>
      <c r="DF55" s="28"/>
      <c r="DG55" s="28"/>
      <c r="DH55" s="28"/>
      <c r="DI55" s="28"/>
      <c r="DJ55" s="28"/>
      <c r="DK55" s="29"/>
      <c r="DL55" s="29"/>
      <c r="DM55" s="29"/>
      <c r="DN55" s="29"/>
      <c r="DO55" s="29"/>
      <c r="DP55" s="29"/>
      <c r="DQ55" s="29"/>
      <c r="DR55" s="29"/>
      <c r="DS55" s="22"/>
      <c r="DT55" s="22"/>
      <c r="DU55" s="22"/>
      <c r="DV55" s="22"/>
    </row>
    <row r="56" spans="15:126" x14ac:dyDescent="0.25">
      <c r="O56" s="63"/>
      <c r="BI56" s="22"/>
      <c r="BJ56" s="22"/>
      <c r="BK56" s="22"/>
      <c r="BL56" s="22"/>
      <c r="BM56" s="66"/>
      <c r="BN56" s="66"/>
      <c r="BO56" s="23"/>
      <c r="BP56" s="23"/>
      <c r="BQ56" s="23"/>
      <c r="BR56" s="24"/>
      <c r="BS56" s="24"/>
      <c r="BT56" s="68"/>
      <c r="BU56" s="68"/>
      <c r="BV56" s="25"/>
      <c r="BW56" s="26"/>
      <c r="BX56" s="27"/>
      <c r="BY56" s="28"/>
      <c r="BZ56" s="28"/>
      <c r="CA56" s="28"/>
      <c r="CB56" s="28"/>
      <c r="CC56" s="28"/>
      <c r="CD56" s="28"/>
      <c r="CE56" s="28"/>
      <c r="CF56" s="28"/>
      <c r="CG56" s="28"/>
      <c r="CH56" s="28"/>
      <c r="CI56" s="28"/>
      <c r="CJ56" s="28"/>
      <c r="CK56" s="28"/>
      <c r="CL56" s="28"/>
      <c r="CM56" s="28"/>
      <c r="CN56" s="28"/>
      <c r="CO56" s="28"/>
      <c r="CP56" s="28"/>
      <c r="CQ56" s="28"/>
      <c r="CR56" s="28"/>
      <c r="CS56" s="28"/>
      <c r="CT56" s="28"/>
      <c r="CU56" s="28"/>
      <c r="CV56" s="28"/>
      <c r="CW56" s="28"/>
      <c r="CX56" s="28"/>
      <c r="CY56" s="28"/>
      <c r="CZ56" s="28"/>
      <c r="DA56" s="28"/>
      <c r="DB56" s="28"/>
      <c r="DC56" s="28"/>
      <c r="DD56" s="28"/>
      <c r="DE56" s="28"/>
      <c r="DF56" s="28"/>
      <c r="DG56" s="28"/>
      <c r="DH56" s="28"/>
      <c r="DI56" s="28"/>
      <c r="DJ56" s="28"/>
      <c r="DK56" s="29"/>
      <c r="DL56" s="29"/>
      <c r="DM56" s="29"/>
      <c r="DN56" s="29"/>
      <c r="DO56" s="29"/>
      <c r="DP56" s="29"/>
      <c r="DQ56" s="29"/>
      <c r="DR56" s="29"/>
      <c r="DS56" s="22"/>
      <c r="DT56" s="22"/>
      <c r="DU56" s="22"/>
      <c r="DV56" s="22"/>
    </row>
    <row r="57" spans="15:126" x14ac:dyDescent="0.25">
      <c r="BI57" s="22"/>
      <c r="BJ57" s="22"/>
      <c r="BK57" s="22"/>
      <c r="BL57" s="22"/>
      <c r="BM57" s="66"/>
      <c r="BN57" s="66"/>
      <c r="BO57" s="23"/>
      <c r="BP57" s="23"/>
      <c r="BQ57" s="23"/>
      <c r="BR57" s="24"/>
      <c r="BS57" s="24"/>
      <c r="BT57" s="68"/>
      <c r="BU57" s="68"/>
      <c r="BV57" s="25"/>
      <c r="BW57" s="26"/>
      <c r="BX57" s="27"/>
      <c r="BY57" s="28"/>
      <c r="BZ57" s="28"/>
      <c r="CA57" s="28"/>
      <c r="CB57" s="28"/>
      <c r="CC57" s="28"/>
      <c r="CD57" s="28"/>
      <c r="CE57" s="28"/>
      <c r="CF57" s="28"/>
      <c r="CG57" s="28"/>
      <c r="CH57" s="28"/>
      <c r="CI57" s="28"/>
      <c r="CJ57" s="28"/>
      <c r="CK57" s="28"/>
      <c r="CL57" s="28"/>
      <c r="CM57" s="28"/>
      <c r="CN57" s="28"/>
      <c r="CO57" s="28"/>
      <c r="CP57" s="28"/>
      <c r="CQ57" s="28"/>
      <c r="CR57" s="28"/>
      <c r="CS57" s="28"/>
      <c r="CT57" s="28"/>
      <c r="CU57" s="28"/>
      <c r="CV57" s="28"/>
      <c r="CW57" s="28"/>
      <c r="CX57" s="28"/>
      <c r="CY57" s="28"/>
      <c r="CZ57" s="28"/>
      <c r="DA57" s="28"/>
      <c r="DB57" s="28"/>
      <c r="DC57" s="28"/>
      <c r="DD57" s="28"/>
      <c r="DE57" s="28"/>
      <c r="DF57" s="28"/>
      <c r="DG57" s="28"/>
      <c r="DH57" s="28"/>
      <c r="DI57" s="28"/>
      <c r="DJ57" s="28"/>
      <c r="DK57" s="29"/>
      <c r="DL57" s="29"/>
      <c r="DM57" s="29"/>
      <c r="DN57" s="29"/>
      <c r="DO57" s="29"/>
      <c r="DP57" s="29"/>
      <c r="DQ57" s="29"/>
      <c r="DR57" s="29"/>
      <c r="DS57" s="22"/>
      <c r="DT57" s="22"/>
      <c r="DU57" s="22"/>
      <c r="DV57" s="22"/>
    </row>
    <row r="58" spans="15:126" x14ac:dyDescent="0.25">
      <c r="BI58" s="22"/>
      <c r="BJ58" s="22"/>
      <c r="BK58" s="22"/>
      <c r="BL58" s="22"/>
      <c r="BM58" s="66"/>
      <c r="BN58" s="66"/>
      <c r="BO58" s="23"/>
      <c r="BP58" s="23"/>
      <c r="BQ58" s="23"/>
      <c r="BR58" s="24"/>
      <c r="BS58" s="24"/>
      <c r="BT58" s="68"/>
      <c r="BU58" s="68"/>
      <c r="BV58" s="25"/>
      <c r="BW58" s="26"/>
      <c r="BX58" s="27"/>
      <c r="BY58" s="28"/>
      <c r="BZ58" s="28"/>
      <c r="CA58" s="28"/>
      <c r="CB58" s="28"/>
      <c r="CC58" s="28"/>
      <c r="CD58" s="28"/>
      <c r="CE58" s="28"/>
      <c r="CF58" s="28"/>
      <c r="CG58" s="28"/>
      <c r="CH58" s="28"/>
      <c r="CI58" s="28"/>
      <c r="CJ58" s="28"/>
      <c r="CK58" s="28"/>
      <c r="CL58" s="28"/>
      <c r="CM58" s="28"/>
      <c r="CN58" s="28"/>
      <c r="CO58" s="28"/>
      <c r="CP58" s="28"/>
      <c r="CQ58" s="28"/>
      <c r="CR58" s="28"/>
      <c r="CS58" s="28"/>
      <c r="CT58" s="28"/>
      <c r="CU58" s="28"/>
      <c r="CV58" s="28"/>
      <c r="CW58" s="28"/>
      <c r="CX58" s="28"/>
      <c r="CY58" s="28"/>
      <c r="CZ58" s="28"/>
      <c r="DA58" s="28"/>
      <c r="DB58" s="28"/>
      <c r="DC58" s="28"/>
      <c r="DD58" s="28"/>
      <c r="DE58" s="28"/>
      <c r="DF58" s="28"/>
      <c r="DG58" s="28"/>
      <c r="DH58" s="28"/>
      <c r="DI58" s="28"/>
      <c r="DJ58" s="28"/>
      <c r="DK58" s="29"/>
      <c r="DL58" s="29"/>
      <c r="DM58" s="29"/>
      <c r="DN58" s="29"/>
      <c r="DO58" s="29"/>
      <c r="DP58" s="29"/>
      <c r="DQ58" s="29"/>
      <c r="DR58" s="29"/>
      <c r="DS58" s="22"/>
      <c r="DT58" s="22"/>
      <c r="DU58" s="22"/>
      <c r="DV58" s="22"/>
    </row>
    <row r="59" spans="15:126" x14ac:dyDescent="0.25">
      <c r="BI59" s="22"/>
      <c r="BJ59" s="22"/>
      <c r="BK59" s="22"/>
      <c r="BL59" s="22"/>
      <c r="BM59" s="66"/>
      <c r="BN59" s="66"/>
      <c r="BO59" s="23"/>
      <c r="BP59" s="23"/>
      <c r="BQ59" s="23"/>
      <c r="BR59" s="24"/>
      <c r="BS59" s="24"/>
      <c r="BT59" s="68"/>
      <c r="BU59" s="68"/>
      <c r="BV59" s="25"/>
      <c r="BW59" s="26"/>
      <c r="BX59" s="27"/>
      <c r="BY59" s="28"/>
      <c r="BZ59" s="28"/>
      <c r="CA59" s="28"/>
      <c r="CB59" s="28"/>
      <c r="CC59" s="28"/>
      <c r="CD59" s="28"/>
      <c r="CE59" s="28"/>
      <c r="CF59" s="28"/>
      <c r="CG59" s="28"/>
      <c r="CH59" s="28"/>
      <c r="CI59" s="28"/>
      <c r="CJ59" s="28"/>
      <c r="CK59" s="28"/>
      <c r="CL59" s="28"/>
      <c r="CM59" s="28"/>
      <c r="CN59" s="28"/>
      <c r="CO59" s="28"/>
      <c r="CP59" s="28"/>
      <c r="CQ59" s="28"/>
      <c r="CR59" s="28"/>
      <c r="CS59" s="28"/>
      <c r="CT59" s="28"/>
      <c r="CU59" s="28"/>
      <c r="CV59" s="28"/>
      <c r="CW59" s="28"/>
      <c r="CX59" s="28"/>
      <c r="CY59" s="28"/>
      <c r="CZ59" s="28"/>
      <c r="DA59" s="28"/>
      <c r="DB59" s="28"/>
      <c r="DC59" s="28"/>
      <c r="DD59" s="28"/>
      <c r="DE59" s="28"/>
      <c r="DF59" s="28"/>
      <c r="DG59" s="28"/>
      <c r="DH59" s="28"/>
      <c r="DI59" s="28"/>
      <c r="DJ59" s="28"/>
      <c r="DK59" s="29"/>
      <c r="DL59" s="29"/>
      <c r="DM59" s="29"/>
      <c r="DN59" s="29"/>
      <c r="DO59" s="29"/>
      <c r="DP59" s="29"/>
      <c r="DQ59" s="29"/>
      <c r="DR59" s="29"/>
      <c r="DS59" s="22"/>
      <c r="DT59" s="22"/>
      <c r="DU59" s="22"/>
      <c r="DV59" s="22"/>
    </row>
    <row r="60" spans="15:126" x14ac:dyDescent="0.25">
      <c r="BI60" s="22"/>
      <c r="BJ60" s="22"/>
      <c r="BK60" s="22"/>
      <c r="BL60" s="22"/>
      <c r="BM60" s="66"/>
      <c r="BN60" s="66"/>
      <c r="BO60" s="23"/>
      <c r="BP60" s="23"/>
      <c r="BQ60" s="23"/>
      <c r="BR60" s="24"/>
      <c r="BS60" s="24"/>
      <c r="BT60" s="68"/>
      <c r="BU60" s="68"/>
      <c r="BV60" s="25"/>
      <c r="BW60" s="26"/>
      <c r="BX60" s="27"/>
      <c r="BY60" s="28"/>
      <c r="BZ60" s="28"/>
      <c r="CA60" s="28"/>
      <c r="CB60" s="28"/>
      <c r="CC60" s="28"/>
      <c r="CD60" s="28"/>
      <c r="CE60" s="28"/>
      <c r="CF60" s="28"/>
      <c r="CG60" s="28"/>
      <c r="CH60" s="28"/>
      <c r="CI60" s="28"/>
      <c r="CJ60" s="28"/>
      <c r="CK60" s="28"/>
      <c r="CL60" s="28"/>
      <c r="CM60" s="28"/>
      <c r="CN60" s="28"/>
      <c r="CO60" s="28"/>
      <c r="CP60" s="28"/>
      <c r="CQ60" s="28"/>
      <c r="CR60" s="28"/>
      <c r="CS60" s="28"/>
      <c r="CT60" s="28"/>
      <c r="CU60" s="28"/>
      <c r="CV60" s="28"/>
      <c r="CW60" s="28"/>
      <c r="CX60" s="28"/>
      <c r="CY60" s="28"/>
      <c r="CZ60" s="28"/>
      <c r="DA60" s="28"/>
      <c r="DB60" s="28"/>
      <c r="DC60" s="28"/>
      <c r="DD60" s="28"/>
      <c r="DE60" s="28"/>
      <c r="DF60" s="28"/>
      <c r="DG60" s="28"/>
      <c r="DH60" s="28"/>
      <c r="DI60" s="28"/>
      <c r="DJ60" s="28"/>
      <c r="DK60" s="29"/>
      <c r="DL60" s="29"/>
      <c r="DM60" s="29"/>
      <c r="DN60" s="29"/>
      <c r="DO60" s="29"/>
      <c r="DP60" s="29"/>
      <c r="DQ60" s="29"/>
      <c r="DR60" s="29"/>
      <c r="DS60" s="22"/>
      <c r="DT60" s="22"/>
      <c r="DU60" s="22"/>
      <c r="DV60" s="22"/>
    </row>
    <row r="61" spans="15:126" x14ac:dyDescent="0.25">
      <c r="BI61" s="22"/>
      <c r="BJ61" s="22"/>
      <c r="BK61" s="22"/>
      <c r="BL61" s="22"/>
      <c r="BM61" s="66"/>
      <c r="BN61" s="66"/>
      <c r="BO61" s="23"/>
      <c r="BP61" s="23"/>
      <c r="BQ61" s="23"/>
      <c r="BR61" s="24"/>
      <c r="BS61" s="24"/>
      <c r="BT61" s="68"/>
      <c r="BU61" s="68"/>
      <c r="BV61" s="25"/>
      <c r="BW61" s="26"/>
      <c r="BX61" s="27"/>
      <c r="BY61" s="28"/>
      <c r="BZ61" s="28"/>
      <c r="CA61" s="28"/>
      <c r="CB61" s="28"/>
      <c r="CC61" s="28"/>
      <c r="CD61" s="28"/>
      <c r="CE61" s="28"/>
      <c r="CF61" s="28"/>
      <c r="CG61" s="28"/>
      <c r="CH61" s="28"/>
      <c r="CI61" s="28"/>
      <c r="CJ61" s="28"/>
      <c r="CK61" s="28"/>
      <c r="CL61" s="28"/>
      <c r="CM61" s="28"/>
      <c r="CN61" s="28"/>
      <c r="CO61" s="28"/>
      <c r="CP61" s="28"/>
      <c r="CQ61" s="28"/>
      <c r="CR61" s="28"/>
      <c r="CS61" s="28"/>
      <c r="CT61" s="28"/>
      <c r="CU61" s="28"/>
      <c r="CV61" s="28"/>
      <c r="CW61" s="28"/>
      <c r="CX61" s="28"/>
      <c r="CY61" s="28"/>
      <c r="CZ61" s="28"/>
      <c r="DA61" s="28"/>
      <c r="DB61" s="28"/>
      <c r="DC61" s="28"/>
      <c r="DD61" s="28"/>
      <c r="DE61" s="28"/>
      <c r="DF61" s="28"/>
      <c r="DG61" s="28"/>
      <c r="DH61" s="28"/>
      <c r="DI61" s="28"/>
      <c r="DJ61" s="28"/>
      <c r="DK61" s="29"/>
      <c r="DL61" s="29"/>
      <c r="DM61" s="29"/>
      <c r="DN61" s="29"/>
      <c r="DO61" s="29"/>
      <c r="DP61" s="29"/>
      <c r="DQ61" s="29"/>
      <c r="DR61" s="29"/>
      <c r="DS61" s="22"/>
      <c r="DT61" s="22"/>
      <c r="DU61" s="22"/>
      <c r="DV61" s="22"/>
    </row>
    <row r="62" spans="15:126" x14ac:dyDescent="0.25">
      <c r="BI62" s="22"/>
      <c r="BJ62" s="22"/>
      <c r="BK62" s="22"/>
      <c r="BL62" s="22"/>
      <c r="BM62" s="66"/>
      <c r="BN62" s="66"/>
      <c r="BO62" s="23"/>
      <c r="BP62" s="23"/>
      <c r="BQ62" s="23"/>
      <c r="BR62" s="24"/>
      <c r="BS62" s="24"/>
      <c r="BT62" s="68"/>
      <c r="BU62" s="68"/>
      <c r="BV62" s="25"/>
      <c r="BW62" s="26"/>
      <c r="BX62" s="27"/>
      <c r="BY62" s="28"/>
      <c r="BZ62" s="28"/>
      <c r="CA62" s="28"/>
      <c r="CB62" s="28"/>
      <c r="CC62" s="28"/>
      <c r="CD62" s="28"/>
      <c r="CE62" s="28"/>
      <c r="CF62" s="28"/>
      <c r="CG62" s="28"/>
      <c r="CH62" s="28"/>
      <c r="CI62" s="28"/>
      <c r="CJ62" s="28"/>
      <c r="CK62" s="28"/>
      <c r="CL62" s="28"/>
      <c r="CM62" s="28"/>
      <c r="CN62" s="28"/>
      <c r="CO62" s="28"/>
      <c r="CP62" s="28"/>
      <c r="CQ62" s="28"/>
      <c r="CR62" s="28"/>
      <c r="CS62" s="28"/>
      <c r="CT62" s="28"/>
      <c r="CU62" s="28"/>
      <c r="CV62" s="28"/>
      <c r="CW62" s="28"/>
      <c r="CX62" s="28"/>
      <c r="CY62" s="28"/>
      <c r="CZ62" s="28"/>
      <c r="DA62" s="28"/>
      <c r="DB62" s="28"/>
      <c r="DC62" s="28"/>
      <c r="DD62" s="28"/>
      <c r="DE62" s="28"/>
      <c r="DF62" s="28"/>
      <c r="DG62" s="28"/>
      <c r="DH62" s="28"/>
      <c r="DI62" s="28"/>
      <c r="DJ62" s="28"/>
      <c r="DK62" s="29"/>
      <c r="DL62" s="29"/>
      <c r="DM62" s="29"/>
      <c r="DN62" s="29"/>
      <c r="DO62" s="29"/>
      <c r="DP62" s="29"/>
      <c r="DQ62" s="29"/>
      <c r="DR62" s="29"/>
      <c r="DS62" s="22"/>
      <c r="DT62" s="22"/>
      <c r="DU62" s="22"/>
      <c r="DV62" s="22"/>
    </row>
    <row r="63" spans="15:126" x14ac:dyDescent="0.25">
      <c r="BI63" s="22"/>
      <c r="BJ63" s="22"/>
      <c r="BK63" s="22"/>
      <c r="BL63" s="22"/>
      <c r="BM63" s="66"/>
      <c r="BN63" s="66"/>
      <c r="BO63" s="23"/>
      <c r="BP63" s="23"/>
      <c r="BQ63" s="23"/>
      <c r="BR63" s="24"/>
      <c r="BS63" s="24"/>
      <c r="BT63" s="68"/>
      <c r="BU63" s="68"/>
      <c r="BV63" s="25"/>
      <c r="BW63" s="26"/>
      <c r="BX63" s="27"/>
      <c r="BY63" s="28"/>
      <c r="BZ63" s="28"/>
      <c r="CA63" s="28"/>
      <c r="CB63" s="28"/>
      <c r="CC63" s="28"/>
      <c r="CD63" s="28"/>
      <c r="CE63" s="28"/>
      <c r="CF63" s="28"/>
      <c r="CG63" s="28"/>
      <c r="CH63" s="28"/>
      <c r="CI63" s="28"/>
      <c r="CJ63" s="28"/>
      <c r="CK63" s="28"/>
      <c r="CL63" s="28"/>
      <c r="CM63" s="28"/>
      <c r="CN63" s="28"/>
      <c r="CO63" s="28"/>
      <c r="CP63" s="28"/>
      <c r="CQ63" s="28"/>
      <c r="CR63" s="28"/>
      <c r="CS63" s="28"/>
      <c r="CT63" s="28"/>
      <c r="CU63" s="28"/>
      <c r="CV63" s="28"/>
      <c r="CW63" s="28"/>
      <c r="CX63" s="28"/>
      <c r="CY63" s="28"/>
      <c r="CZ63" s="28"/>
      <c r="DA63" s="28"/>
      <c r="DB63" s="28"/>
      <c r="DC63" s="28"/>
      <c r="DD63" s="28"/>
      <c r="DE63" s="28"/>
      <c r="DF63" s="28"/>
      <c r="DG63" s="28"/>
      <c r="DH63" s="28"/>
      <c r="DI63" s="28"/>
      <c r="DJ63" s="28"/>
      <c r="DK63" s="29"/>
      <c r="DL63" s="29"/>
      <c r="DM63" s="29"/>
      <c r="DN63" s="29"/>
      <c r="DO63" s="29"/>
      <c r="DP63" s="29"/>
      <c r="DQ63" s="29"/>
      <c r="DR63" s="29"/>
      <c r="DS63" s="22"/>
      <c r="DT63" s="22"/>
      <c r="DU63" s="22"/>
      <c r="DV63" s="22"/>
    </row>
    <row r="64" spans="15:126" x14ac:dyDescent="0.25">
      <c r="BI64" s="22"/>
      <c r="BJ64" s="22"/>
      <c r="BK64" s="22"/>
      <c r="BL64" s="22"/>
      <c r="BM64" s="66"/>
      <c r="BN64" s="66"/>
      <c r="BO64" s="23"/>
      <c r="BP64" s="23"/>
      <c r="BQ64" s="23"/>
      <c r="BR64" s="24"/>
      <c r="BS64" s="24"/>
      <c r="BT64" s="68"/>
      <c r="BU64" s="68"/>
      <c r="BV64" s="25"/>
      <c r="BW64" s="26"/>
      <c r="BX64" s="27"/>
      <c r="BY64" s="28"/>
      <c r="BZ64" s="28"/>
      <c r="CA64" s="28"/>
      <c r="CB64" s="28"/>
      <c r="CC64" s="28"/>
      <c r="CD64" s="28"/>
      <c r="CE64" s="28"/>
      <c r="CF64" s="28"/>
      <c r="CG64" s="28"/>
      <c r="CH64" s="28"/>
      <c r="CI64" s="28"/>
      <c r="CJ64" s="28"/>
      <c r="CK64" s="28"/>
      <c r="CL64" s="28"/>
      <c r="CM64" s="28"/>
      <c r="CN64" s="28"/>
      <c r="CO64" s="28"/>
      <c r="CP64" s="28"/>
      <c r="CQ64" s="28"/>
      <c r="CR64" s="28"/>
      <c r="CS64" s="28"/>
      <c r="CT64" s="28"/>
      <c r="CU64" s="28"/>
      <c r="CV64" s="28"/>
      <c r="CW64" s="28"/>
      <c r="CX64" s="28"/>
      <c r="CY64" s="28"/>
      <c r="CZ64" s="28"/>
      <c r="DA64" s="28"/>
      <c r="DB64" s="28"/>
      <c r="DC64" s="28"/>
      <c r="DD64" s="28"/>
      <c r="DE64" s="28"/>
      <c r="DF64" s="28"/>
      <c r="DG64" s="28"/>
      <c r="DH64" s="28"/>
      <c r="DI64" s="28"/>
      <c r="DJ64" s="28"/>
      <c r="DK64" s="29"/>
      <c r="DL64" s="29"/>
      <c r="DM64" s="29"/>
      <c r="DN64" s="29"/>
      <c r="DO64" s="29"/>
      <c r="DP64" s="29"/>
      <c r="DQ64" s="29"/>
      <c r="DR64" s="29"/>
      <c r="DS64" s="22"/>
      <c r="DT64" s="22"/>
      <c r="DU64" s="22"/>
      <c r="DV64" s="22"/>
    </row>
    <row r="65" spans="61:126" x14ac:dyDescent="0.25">
      <c r="BI65" s="22"/>
      <c r="BJ65" s="22"/>
      <c r="BK65" s="22"/>
      <c r="BL65" s="22"/>
      <c r="BM65" s="66"/>
      <c r="BN65" s="66"/>
      <c r="BO65" s="23"/>
      <c r="BP65" s="23"/>
      <c r="BQ65" s="23"/>
      <c r="BR65" s="24"/>
      <c r="BS65" s="24"/>
      <c r="BT65" s="68"/>
      <c r="BU65" s="68"/>
      <c r="BV65" s="25"/>
      <c r="BW65" s="26"/>
      <c r="BX65" s="27"/>
      <c r="BY65" s="28"/>
      <c r="BZ65" s="28"/>
      <c r="CA65" s="28"/>
      <c r="CB65" s="28"/>
      <c r="CC65" s="28"/>
      <c r="CD65" s="28"/>
      <c r="CE65" s="28"/>
      <c r="CF65" s="28"/>
      <c r="CG65" s="28"/>
      <c r="CH65" s="28"/>
      <c r="CI65" s="28"/>
      <c r="CJ65" s="28"/>
      <c r="CK65" s="28"/>
      <c r="CL65" s="28"/>
      <c r="CM65" s="28"/>
      <c r="CN65" s="28"/>
      <c r="CO65" s="28"/>
      <c r="CP65" s="28"/>
      <c r="CQ65" s="28"/>
      <c r="CR65" s="28"/>
      <c r="CS65" s="28"/>
      <c r="CT65" s="28"/>
      <c r="CU65" s="28"/>
      <c r="CV65" s="28"/>
      <c r="CW65" s="28"/>
      <c r="CX65" s="28"/>
      <c r="CY65" s="28"/>
      <c r="CZ65" s="28"/>
      <c r="DA65" s="28"/>
      <c r="DB65" s="28"/>
      <c r="DC65" s="28"/>
      <c r="DD65" s="28"/>
      <c r="DE65" s="28"/>
      <c r="DF65" s="28"/>
      <c r="DG65" s="28"/>
      <c r="DH65" s="28"/>
      <c r="DI65" s="28"/>
      <c r="DJ65" s="28"/>
      <c r="DK65" s="29"/>
      <c r="DL65" s="29"/>
      <c r="DM65" s="29"/>
      <c r="DN65" s="29"/>
      <c r="DO65" s="29"/>
      <c r="DP65" s="29"/>
      <c r="DQ65" s="29"/>
      <c r="DR65" s="29"/>
      <c r="DS65" s="22"/>
      <c r="DT65" s="22"/>
      <c r="DU65" s="22"/>
      <c r="DV65" s="22"/>
    </row>
    <row r="66" spans="61:126" x14ac:dyDescent="0.25">
      <c r="BI66" s="22"/>
      <c r="BJ66" s="22"/>
      <c r="BK66" s="22"/>
      <c r="BL66" s="22"/>
      <c r="BM66" s="66"/>
      <c r="BN66" s="66"/>
      <c r="BO66" s="23"/>
      <c r="BP66" s="23"/>
      <c r="BQ66" s="23"/>
      <c r="BR66" s="24"/>
      <c r="BS66" s="24"/>
      <c r="BT66" s="68"/>
      <c r="BU66" s="68"/>
      <c r="BV66" s="25"/>
      <c r="BW66" s="26"/>
      <c r="BX66" s="27"/>
      <c r="BY66" s="28"/>
      <c r="BZ66" s="28"/>
      <c r="CA66" s="28"/>
      <c r="CB66" s="28"/>
      <c r="CC66" s="28"/>
      <c r="CD66" s="28"/>
      <c r="CE66" s="28"/>
      <c r="CF66" s="28"/>
      <c r="CG66" s="28"/>
      <c r="CH66" s="28"/>
      <c r="CI66" s="28"/>
      <c r="CJ66" s="28"/>
      <c r="CK66" s="28"/>
      <c r="CL66" s="28"/>
      <c r="CM66" s="28"/>
      <c r="CN66" s="28"/>
      <c r="CO66" s="28"/>
      <c r="CP66" s="28"/>
      <c r="CQ66" s="28"/>
      <c r="CR66" s="28"/>
      <c r="CS66" s="28"/>
      <c r="CT66" s="28"/>
      <c r="CU66" s="28"/>
      <c r="CV66" s="28"/>
      <c r="CW66" s="28"/>
      <c r="CX66" s="28"/>
      <c r="CY66" s="28"/>
      <c r="CZ66" s="28"/>
      <c r="DA66" s="28"/>
      <c r="DB66" s="28"/>
      <c r="DC66" s="28"/>
      <c r="DD66" s="28"/>
      <c r="DE66" s="28"/>
      <c r="DF66" s="28"/>
      <c r="DG66" s="28"/>
      <c r="DH66" s="28"/>
      <c r="DI66" s="28"/>
      <c r="DJ66" s="28"/>
      <c r="DK66" s="29"/>
      <c r="DL66" s="29"/>
      <c r="DM66" s="29"/>
      <c r="DN66" s="29"/>
      <c r="DO66" s="29"/>
      <c r="DP66" s="29"/>
      <c r="DQ66" s="29"/>
      <c r="DR66" s="29"/>
      <c r="DS66" s="22"/>
      <c r="DT66" s="22"/>
      <c r="DU66" s="22"/>
      <c r="DV66" s="22"/>
    </row>
    <row r="67" spans="61:126" x14ac:dyDescent="0.25">
      <c r="BI67" s="22"/>
      <c r="BJ67" s="22"/>
      <c r="BK67" s="22"/>
      <c r="BL67" s="22"/>
      <c r="BM67" s="66"/>
      <c r="BN67" s="66"/>
      <c r="BO67" s="23"/>
      <c r="BP67" s="23"/>
      <c r="BQ67" s="23"/>
      <c r="BR67" s="24"/>
      <c r="BS67" s="24"/>
      <c r="BT67" s="68"/>
      <c r="BU67" s="68"/>
      <c r="BV67" s="25"/>
      <c r="BW67" s="26"/>
      <c r="BX67" s="27"/>
      <c r="BY67" s="28"/>
      <c r="BZ67" s="28"/>
      <c r="CA67" s="28"/>
      <c r="CB67" s="28"/>
      <c r="CC67" s="28"/>
      <c r="CD67" s="28"/>
      <c r="CE67" s="28"/>
      <c r="CF67" s="28"/>
      <c r="CG67" s="28"/>
      <c r="CH67" s="28"/>
      <c r="CI67" s="28"/>
      <c r="CJ67" s="28"/>
      <c r="CK67" s="28"/>
      <c r="CL67" s="28"/>
      <c r="CM67" s="28"/>
      <c r="CN67" s="28"/>
      <c r="CO67" s="28"/>
      <c r="CP67" s="28"/>
      <c r="CQ67" s="28"/>
      <c r="CR67" s="28"/>
      <c r="CS67" s="28"/>
      <c r="CT67" s="28"/>
      <c r="CU67" s="28"/>
      <c r="CV67" s="28"/>
      <c r="CW67" s="28"/>
      <c r="CX67" s="28"/>
      <c r="CY67" s="28"/>
      <c r="CZ67" s="28"/>
      <c r="DA67" s="28"/>
      <c r="DB67" s="28"/>
      <c r="DC67" s="28"/>
      <c r="DD67" s="28"/>
      <c r="DE67" s="28"/>
      <c r="DF67" s="28"/>
      <c r="DG67" s="28"/>
      <c r="DH67" s="28"/>
      <c r="DI67" s="28"/>
      <c r="DJ67" s="28"/>
      <c r="DK67" s="29"/>
      <c r="DL67" s="29"/>
      <c r="DM67" s="29"/>
      <c r="DN67" s="29"/>
      <c r="DO67" s="29"/>
      <c r="DP67" s="29"/>
      <c r="DQ67" s="29"/>
      <c r="DR67" s="29"/>
      <c r="DS67" s="22"/>
      <c r="DT67" s="22"/>
      <c r="DU67" s="22"/>
      <c r="DV67" s="22"/>
    </row>
    <row r="68" spans="61:126" x14ac:dyDescent="0.25">
      <c r="BI68" s="22"/>
      <c r="BJ68" s="22"/>
      <c r="BK68" s="22"/>
      <c r="BL68" s="22"/>
      <c r="BM68" s="66"/>
      <c r="BN68" s="66"/>
      <c r="BO68" s="23"/>
      <c r="BP68" s="23"/>
      <c r="BQ68" s="23"/>
      <c r="BR68" s="24"/>
      <c r="BS68" s="24"/>
      <c r="BT68" s="68"/>
      <c r="BU68" s="68"/>
      <c r="BV68" s="25"/>
      <c r="BW68" s="26"/>
      <c r="BX68" s="27"/>
      <c r="BY68" s="28"/>
      <c r="BZ68" s="28"/>
      <c r="CA68" s="28"/>
      <c r="CB68" s="28"/>
      <c r="CC68" s="28"/>
      <c r="CD68" s="28"/>
      <c r="CE68" s="28"/>
      <c r="CF68" s="28"/>
      <c r="CG68" s="28"/>
      <c r="CH68" s="28"/>
      <c r="CI68" s="28"/>
      <c r="CJ68" s="28"/>
      <c r="CK68" s="28"/>
      <c r="CL68" s="28"/>
      <c r="CM68" s="28"/>
      <c r="CN68" s="28"/>
      <c r="CO68" s="28"/>
      <c r="CP68" s="28"/>
      <c r="CQ68" s="28"/>
      <c r="CR68" s="28"/>
      <c r="CS68" s="28"/>
      <c r="CT68" s="28"/>
      <c r="CU68" s="28"/>
      <c r="CV68" s="28"/>
      <c r="CW68" s="28"/>
      <c r="CX68" s="28"/>
      <c r="CY68" s="28"/>
      <c r="CZ68" s="28"/>
      <c r="DA68" s="28"/>
      <c r="DB68" s="28"/>
      <c r="DC68" s="28"/>
      <c r="DD68" s="28"/>
      <c r="DE68" s="28"/>
      <c r="DF68" s="28"/>
      <c r="DG68" s="28"/>
      <c r="DH68" s="28"/>
      <c r="DI68" s="28"/>
      <c r="DJ68" s="28"/>
      <c r="DK68" s="29"/>
      <c r="DL68" s="29"/>
      <c r="DM68" s="29"/>
      <c r="DN68" s="29"/>
      <c r="DO68" s="29"/>
      <c r="DP68" s="29"/>
      <c r="DQ68" s="29"/>
      <c r="DR68" s="29"/>
      <c r="DS68" s="22"/>
      <c r="DT68" s="22"/>
      <c r="DU68" s="22"/>
      <c r="DV68" s="22"/>
    </row>
    <row r="69" spans="61:126" x14ac:dyDescent="0.25">
      <c r="BI69" s="22"/>
      <c r="BJ69" s="22"/>
      <c r="BK69" s="22"/>
      <c r="BL69" s="22"/>
      <c r="BM69" s="66"/>
      <c r="BN69" s="66"/>
      <c r="BO69" s="23"/>
      <c r="BP69" s="23"/>
      <c r="BQ69" s="23"/>
      <c r="BR69" s="24"/>
      <c r="BS69" s="24"/>
      <c r="BT69" s="68"/>
      <c r="BU69" s="68"/>
      <c r="BV69" s="25"/>
      <c r="BW69" s="26"/>
      <c r="BX69" s="27"/>
      <c r="BY69" s="28"/>
      <c r="BZ69" s="28"/>
      <c r="CA69" s="28"/>
      <c r="CB69" s="28"/>
      <c r="CC69" s="28"/>
      <c r="CD69" s="28"/>
      <c r="CE69" s="28"/>
      <c r="CF69" s="28"/>
      <c r="CG69" s="28"/>
      <c r="CH69" s="28"/>
      <c r="CI69" s="28"/>
      <c r="CJ69" s="28"/>
      <c r="CK69" s="28"/>
      <c r="CL69" s="28"/>
      <c r="CM69" s="28"/>
      <c r="CN69" s="28"/>
      <c r="CO69" s="28"/>
      <c r="CP69" s="28"/>
      <c r="CQ69" s="28"/>
      <c r="CR69" s="28"/>
      <c r="CS69" s="28"/>
      <c r="CT69" s="28"/>
      <c r="CU69" s="28"/>
      <c r="CV69" s="28"/>
      <c r="CW69" s="28"/>
      <c r="CX69" s="28"/>
      <c r="CY69" s="28"/>
      <c r="CZ69" s="28"/>
      <c r="DA69" s="28"/>
      <c r="DB69" s="28"/>
      <c r="DC69" s="28"/>
      <c r="DD69" s="28"/>
      <c r="DE69" s="28"/>
      <c r="DF69" s="28"/>
      <c r="DG69" s="28"/>
      <c r="DH69" s="28"/>
      <c r="DI69" s="28"/>
      <c r="DJ69" s="28"/>
      <c r="DK69" s="29"/>
      <c r="DL69" s="29"/>
      <c r="DM69" s="29"/>
      <c r="DN69" s="29"/>
      <c r="DO69" s="29"/>
      <c r="DP69" s="29"/>
      <c r="DQ69" s="29"/>
      <c r="DR69" s="29"/>
      <c r="DS69" s="22"/>
      <c r="DT69" s="22"/>
      <c r="DU69" s="22"/>
      <c r="DV69" s="22"/>
    </row>
    <row r="70" spans="61:126" x14ac:dyDescent="0.25">
      <c r="BI70" s="22"/>
      <c r="BJ70" s="22"/>
      <c r="BK70" s="22"/>
      <c r="BL70" s="22"/>
      <c r="BM70" s="66"/>
      <c r="BN70" s="66"/>
      <c r="BO70" s="23"/>
      <c r="BP70" s="23"/>
      <c r="BQ70" s="23"/>
      <c r="BR70" s="24"/>
      <c r="BS70" s="24"/>
      <c r="BT70" s="68"/>
      <c r="BU70" s="68"/>
      <c r="BV70" s="25"/>
      <c r="BW70" s="26"/>
      <c r="BX70" s="27"/>
      <c r="BY70" s="28"/>
      <c r="BZ70" s="28"/>
      <c r="CA70" s="28"/>
      <c r="CB70" s="28"/>
      <c r="CC70" s="28"/>
      <c r="CD70" s="28"/>
      <c r="CE70" s="28"/>
      <c r="CF70" s="28"/>
      <c r="CG70" s="28"/>
      <c r="CH70" s="28"/>
      <c r="CI70" s="28"/>
      <c r="CJ70" s="28"/>
      <c r="CK70" s="28"/>
      <c r="CL70" s="28"/>
      <c r="CM70" s="28"/>
      <c r="CN70" s="28"/>
      <c r="CO70" s="28"/>
      <c r="CP70" s="28"/>
      <c r="CQ70" s="28"/>
      <c r="CR70" s="28"/>
      <c r="CS70" s="28"/>
      <c r="CT70" s="28"/>
      <c r="CU70" s="28"/>
      <c r="CV70" s="28"/>
      <c r="CW70" s="28"/>
      <c r="CX70" s="28"/>
      <c r="CY70" s="28"/>
      <c r="CZ70" s="28"/>
      <c r="DA70" s="28"/>
      <c r="DB70" s="28"/>
      <c r="DC70" s="28"/>
      <c r="DD70" s="28"/>
      <c r="DE70" s="28"/>
      <c r="DF70" s="28"/>
      <c r="DG70" s="28"/>
      <c r="DH70" s="28"/>
      <c r="DI70" s="28"/>
      <c r="DJ70" s="28"/>
      <c r="DK70" s="29"/>
      <c r="DL70" s="29"/>
      <c r="DM70" s="29"/>
      <c r="DN70" s="29"/>
      <c r="DO70" s="29"/>
      <c r="DP70" s="29"/>
      <c r="DQ70" s="29"/>
      <c r="DR70" s="29"/>
      <c r="DS70" s="22"/>
      <c r="DT70" s="22"/>
      <c r="DU70" s="22"/>
      <c r="DV70" s="22"/>
    </row>
    <row r="71" spans="61:126" x14ac:dyDescent="0.25">
      <c r="BI71" s="22"/>
      <c r="BJ71" s="22"/>
      <c r="BK71" s="22"/>
      <c r="BL71" s="22"/>
      <c r="BM71" s="66"/>
      <c r="BN71" s="66"/>
      <c r="BO71" s="23"/>
      <c r="BP71" s="23"/>
      <c r="BQ71" s="23"/>
      <c r="BR71" s="24"/>
      <c r="BS71" s="24"/>
      <c r="BT71" s="68"/>
      <c r="BU71" s="68"/>
      <c r="BV71" s="25"/>
      <c r="BW71" s="26"/>
      <c r="BX71" s="27"/>
      <c r="BY71" s="28"/>
      <c r="BZ71" s="28"/>
      <c r="CA71" s="28"/>
      <c r="CB71" s="28"/>
      <c r="CC71" s="28"/>
      <c r="CD71" s="28"/>
      <c r="CE71" s="28"/>
      <c r="CF71" s="28"/>
      <c r="CG71" s="28"/>
      <c r="CH71" s="28"/>
      <c r="CI71" s="28"/>
      <c r="CJ71" s="28"/>
      <c r="CK71" s="28"/>
      <c r="CL71" s="28"/>
      <c r="CM71" s="28"/>
      <c r="CN71" s="28"/>
      <c r="CO71" s="28"/>
      <c r="CP71" s="28"/>
      <c r="CQ71" s="28"/>
      <c r="CR71" s="28"/>
      <c r="CS71" s="28"/>
      <c r="CT71" s="28"/>
      <c r="CU71" s="28"/>
      <c r="CV71" s="28"/>
      <c r="CW71" s="28"/>
      <c r="CX71" s="28"/>
      <c r="CY71" s="28"/>
      <c r="CZ71" s="28"/>
      <c r="DA71" s="28"/>
      <c r="DB71" s="28"/>
      <c r="DC71" s="28"/>
      <c r="DD71" s="28"/>
      <c r="DE71" s="28"/>
      <c r="DF71" s="28"/>
      <c r="DG71" s="28"/>
      <c r="DH71" s="28"/>
      <c r="DI71" s="28"/>
      <c r="DJ71" s="28"/>
      <c r="DK71" s="29"/>
      <c r="DL71" s="29"/>
      <c r="DM71" s="29"/>
      <c r="DN71" s="29"/>
      <c r="DO71" s="29"/>
      <c r="DP71" s="29"/>
      <c r="DQ71" s="29"/>
      <c r="DR71" s="29"/>
      <c r="DS71" s="22"/>
      <c r="DT71" s="22"/>
      <c r="DU71" s="22"/>
      <c r="DV71" s="22"/>
    </row>
    <row r="72" spans="61:126" x14ac:dyDescent="0.25">
      <c r="BI72" s="22"/>
      <c r="BJ72" s="22"/>
      <c r="BK72" s="22"/>
      <c r="BL72" s="22"/>
      <c r="BM72" s="66"/>
      <c r="BN72" s="66"/>
      <c r="BO72" s="23"/>
      <c r="BP72" s="23"/>
      <c r="BQ72" s="23"/>
      <c r="BR72" s="24"/>
      <c r="BS72" s="24"/>
      <c r="BT72" s="68"/>
      <c r="BU72" s="68"/>
      <c r="BV72" s="25"/>
      <c r="BW72" s="26"/>
      <c r="BX72" s="27"/>
      <c r="BY72" s="28"/>
      <c r="BZ72" s="28"/>
      <c r="CA72" s="28"/>
      <c r="CB72" s="28"/>
      <c r="CC72" s="28"/>
      <c r="CD72" s="28"/>
      <c r="CE72" s="28"/>
      <c r="CF72" s="28"/>
      <c r="CG72" s="28"/>
      <c r="CH72" s="28"/>
      <c r="CI72" s="28"/>
      <c r="CJ72" s="28"/>
      <c r="CK72" s="28"/>
      <c r="CL72" s="28"/>
      <c r="CM72" s="28"/>
      <c r="CN72" s="28"/>
      <c r="CO72" s="28"/>
      <c r="CP72" s="28"/>
      <c r="CQ72" s="28"/>
      <c r="CR72" s="28"/>
      <c r="CS72" s="28"/>
      <c r="CT72" s="28"/>
      <c r="CU72" s="28"/>
      <c r="CV72" s="28"/>
      <c r="CW72" s="28"/>
      <c r="CX72" s="28"/>
      <c r="CY72" s="28"/>
      <c r="CZ72" s="28"/>
      <c r="DA72" s="28"/>
      <c r="DB72" s="28"/>
      <c r="DC72" s="28"/>
      <c r="DD72" s="28"/>
      <c r="DE72" s="28"/>
      <c r="DF72" s="28"/>
      <c r="DG72" s="28"/>
      <c r="DH72" s="28"/>
      <c r="DI72" s="28"/>
      <c r="DJ72" s="28"/>
      <c r="DK72" s="29"/>
      <c r="DL72" s="29"/>
      <c r="DM72" s="29"/>
      <c r="DN72" s="29"/>
      <c r="DO72" s="29"/>
      <c r="DP72" s="29"/>
      <c r="DQ72" s="29"/>
      <c r="DR72" s="29"/>
      <c r="DS72" s="22"/>
      <c r="DT72" s="22"/>
      <c r="DU72" s="22"/>
      <c r="DV72" s="22"/>
    </row>
    <row r="73" spans="61:126" x14ac:dyDescent="0.25">
      <c r="BI73" s="22"/>
      <c r="BJ73" s="22"/>
      <c r="BK73" s="22"/>
      <c r="BL73" s="22"/>
      <c r="BM73" s="66"/>
      <c r="BN73" s="66"/>
      <c r="BO73" s="23"/>
      <c r="BP73" s="23"/>
      <c r="BQ73" s="23"/>
      <c r="BR73" s="24"/>
      <c r="BS73" s="24"/>
      <c r="BT73" s="68"/>
      <c r="BU73" s="68"/>
      <c r="BV73" s="25"/>
      <c r="BW73" s="26"/>
      <c r="BX73" s="27"/>
      <c r="BY73" s="28"/>
      <c r="BZ73" s="28"/>
      <c r="CA73" s="28"/>
      <c r="CB73" s="28"/>
      <c r="CC73" s="28"/>
      <c r="CD73" s="28"/>
      <c r="CE73" s="28"/>
      <c r="CF73" s="28"/>
      <c r="CG73" s="28"/>
      <c r="CH73" s="28"/>
      <c r="CI73" s="28"/>
      <c r="CJ73" s="28"/>
      <c r="CK73" s="28"/>
      <c r="CL73" s="28"/>
      <c r="CM73" s="28"/>
      <c r="CN73" s="28"/>
      <c r="CO73" s="28"/>
      <c r="CP73" s="28"/>
      <c r="CQ73" s="28"/>
      <c r="CR73" s="28"/>
      <c r="CS73" s="28"/>
      <c r="CT73" s="28"/>
      <c r="CU73" s="28"/>
      <c r="CV73" s="28"/>
      <c r="CW73" s="28"/>
      <c r="CX73" s="28"/>
      <c r="CY73" s="28"/>
      <c r="CZ73" s="28"/>
      <c r="DA73" s="28"/>
      <c r="DB73" s="28"/>
      <c r="DC73" s="28"/>
      <c r="DD73" s="28"/>
      <c r="DE73" s="28"/>
      <c r="DF73" s="28"/>
      <c r="DG73" s="28"/>
      <c r="DH73" s="28"/>
      <c r="DI73" s="28"/>
      <c r="DJ73" s="28"/>
      <c r="DK73" s="29"/>
      <c r="DL73" s="29"/>
      <c r="DM73" s="29"/>
      <c r="DN73" s="29"/>
      <c r="DO73" s="29"/>
      <c r="DP73" s="29"/>
      <c r="DQ73" s="29"/>
      <c r="DR73" s="29"/>
      <c r="DS73" s="22"/>
      <c r="DT73" s="22"/>
      <c r="DU73" s="22"/>
      <c r="DV73" s="22"/>
    </row>
    <row r="74" spans="61:126" x14ac:dyDescent="0.25">
      <c r="BI74" s="22"/>
      <c r="BJ74" s="22"/>
      <c r="BK74" s="22"/>
      <c r="BL74" s="22"/>
      <c r="BM74" s="66"/>
      <c r="BN74" s="66"/>
      <c r="BO74" s="23"/>
      <c r="BP74" s="23"/>
      <c r="BQ74" s="23"/>
      <c r="BR74" s="24"/>
      <c r="BS74" s="24"/>
      <c r="BT74" s="68"/>
      <c r="BU74" s="68"/>
      <c r="BV74" s="25"/>
      <c r="BW74" s="26"/>
      <c r="BX74" s="27"/>
      <c r="BY74" s="28"/>
      <c r="BZ74" s="28"/>
      <c r="CA74" s="28"/>
      <c r="CB74" s="28"/>
      <c r="CC74" s="28"/>
      <c r="CD74" s="28"/>
      <c r="CE74" s="28"/>
      <c r="CF74" s="28"/>
      <c r="CG74" s="28"/>
      <c r="CH74" s="28"/>
      <c r="CI74" s="28"/>
      <c r="CJ74" s="28"/>
      <c r="CK74" s="28"/>
      <c r="CL74" s="28"/>
      <c r="CM74" s="28"/>
      <c r="CN74" s="28"/>
      <c r="CO74" s="28"/>
      <c r="CP74" s="28"/>
      <c r="CQ74" s="28"/>
      <c r="CR74" s="28"/>
      <c r="CS74" s="28"/>
      <c r="CT74" s="28"/>
      <c r="CU74" s="28"/>
      <c r="CV74" s="28"/>
      <c r="CW74" s="28"/>
      <c r="CX74" s="28"/>
      <c r="CY74" s="28"/>
      <c r="CZ74" s="28"/>
      <c r="DA74" s="28"/>
      <c r="DB74" s="28"/>
      <c r="DC74" s="28"/>
      <c r="DD74" s="28"/>
      <c r="DE74" s="28"/>
      <c r="DF74" s="28"/>
      <c r="DG74" s="28"/>
      <c r="DH74" s="28"/>
      <c r="DI74" s="28"/>
      <c r="DJ74" s="28"/>
      <c r="DK74" s="29"/>
      <c r="DL74" s="29"/>
      <c r="DM74" s="29"/>
      <c r="DN74" s="29"/>
      <c r="DO74" s="29"/>
      <c r="DP74" s="29"/>
      <c r="DQ74" s="29"/>
      <c r="DR74" s="29"/>
      <c r="DS74" s="22"/>
      <c r="DT74" s="22"/>
      <c r="DU74" s="22"/>
      <c r="DV74" s="22"/>
    </row>
    <row r="75" spans="61:126" x14ac:dyDescent="0.25">
      <c r="BI75" s="22"/>
      <c r="BJ75" s="22"/>
      <c r="BK75" s="22"/>
      <c r="BL75" s="22"/>
      <c r="BM75" s="66"/>
      <c r="BN75" s="66"/>
      <c r="BO75" s="23"/>
      <c r="BP75" s="23"/>
      <c r="BQ75" s="23"/>
      <c r="BR75" s="24"/>
      <c r="BS75" s="24"/>
      <c r="BT75" s="68"/>
      <c r="BU75" s="68"/>
      <c r="BV75" s="25"/>
      <c r="BW75" s="26"/>
      <c r="BX75" s="27"/>
      <c r="BY75" s="28"/>
      <c r="BZ75" s="28"/>
      <c r="CA75" s="28"/>
      <c r="CB75" s="28"/>
      <c r="CC75" s="28"/>
      <c r="CD75" s="28"/>
      <c r="CE75" s="28"/>
      <c r="CF75" s="28"/>
      <c r="CG75" s="28"/>
      <c r="CH75" s="28"/>
      <c r="CI75" s="28"/>
      <c r="CJ75" s="28"/>
      <c r="CK75" s="28"/>
      <c r="CL75" s="28"/>
      <c r="CM75" s="28"/>
      <c r="CN75" s="28"/>
      <c r="CO75" s="28"/>
      <c r="CP75" s="28"/>
      <c r="CQ75" s="28"/>
      <c r="CR75" s="28"/>
      <c r="CS75" s="28"/>
      <c r="CT75" s="28"/>
      <c r="CU75" s="28"/>
      <c r="CV75" s="28"/>
      <c r="CW75" s="28"/>
      <c r="CX75" s="28"/>
      <c r="CY75" s="28"/>
      <c r="CZ75" s="28"/>
      <c r="DA75" s="28"/>
      <c r="DB75" s="28"/>
      <c r="DC75" s="28"/>
      <c r="DD75" s="28"/>
      <c r="DE75" s="28"/>
      <c r="DF75" s="28"/>
      <c r="DG75" s="28"/>
      <c r="DH75" s="28"/>
      <c r="DI75" s="28"/>
      <c r="DJ75" s="28"/>
      <c r="DK75" s="29"/>
      <c r="DL75" s="29"/>
      <c r="DM75" s="29"/>
      <c r="DN75" s="29"/>
      <c r="DO75" s="29"/>
      <c r="DP75" s="29"/>
      <c r="DQ75" s="29"/>
      <c r="DR75" s="29"/>
      <c r="DS75" s="22"/>
      <c r="DT75" s="22"/>
      <c r="DU75" s="22"/>
      <c r="DV75" s="22"/>
    </row>
    <row r="76" spans="61:126" x14ac:dyDescent="0.25">
      <c r="BI76" s="22"/>
      <c r="BJ76" s="22"/>
      <c r="BK76" s="22"/>
      <c r="BL76" s="22"/>
      <c r="BM76" s="66"/>
      <c r="BN76" s="66"/>
      <c r="BO76" s="23"/>
      <c r="BP76" s="23"/>
      <c r="BQ76" s="23"/>
      <c r="BR76" s="24"/>
      <c r="BS76" s="24"/>
      <c r="BT76" s="68"/>
      <c r="BU76" s="68"/>
      <c r="BV76" s="25"/>
      <c r="BW76" s="26"/>
      <c r="BX76" s="27"/>
      <c r="BY76" s="28"/>
      <c r="BZ76" s="28"/>
      <c r="CA76" s="28"/>
      <c r="CB76" s="28"/>
      <c r="CC76" s="28"/>
      <c r="CD76" s="28"/>
      <c r="CE76" s="28"/>
      <c r="CF76" s="28"/>
      <c r="CG76" s="28"/>
      <c r="CH76" s="28"/>
      <c r="CI76" s="28"/>
      <c r="CJ76" s="28"/>
      <c r="CK76" s="28"/>
      <c r="CL76" s="28"/>
      <c r="CM76" s="28"/>
      <c r="CN76" s="28"/>
      <c r="CO76" s="28"/>
      <c r="CP76" s="28"/>
      <c r="CQ76" s="28"/>
      <c r="CR76" s="28"/>
      <c r="CS76" s="28"/>
      <c r="CT76" s="28"/>
      <c r="CU76" s="28"/>
      <c r="CV76" s="28"/>
      <c r="CW76" s="28"/>
      <c r="CX76" s="28"/>
      <c r="CY76" s="28"/>
      <c r="CZ76" s="28"/>
      <c r="DA76" s="28"/>
      <c r="DB76" s="28"/>
      <c r="DC76" s="28"/>
      <c r="DD76" s="28"/>
      <c r="DE76" s="28"/>
      <c r="DF76" s="28"/>
      <c r="DG76" s="28"/>
      <c r="DH76" s="28"/>
      <c r="DI76" s="28"/>
      <c r="DJ76" s="28"/>
      <c r="DK76" s="29"/>
      <c r="DL76" s="29"/>
      <c r="DM76" s="29"/>
      <c r="DN76" s="29"/>
      <c r="DO76" s="29"/>
      <c r="DP76" s="29"/>
      <c r="DQ76" s="29"/>
      <c r="DR76" s="29"/>
      <c r="DS76" s="22"/>
      <c r="DT76" s="22"/>
      <c r="DU76" s="22"/>
      <c r="DV76" s="22"/>
    </row>
    <row r="77" spans="61:126" x14ac:dyDescent="0.25">
      <c r="BI77" s="22"/>
      <c r="BJ77" s="22"/>
      <c r="BK77" s="22"/>
      <c r="BL77" s="22"/>
      <c r="BM77" s="66"/>
      <c r="BN77" s="66"/>
      <c r="BO77" s="23"/>
      <c r="BP77" s="23"/>
      <c r="BQ77" s="23"/>
      <c r="BR77" s="24"/>
      <c r="BS77" s="24"/>
      <c r="BT77" s="68"/>
      <c r="BU77" s="68"/>
      <c r="BV77" s="25"/>
      <c r="BW77" s="26"/>
      <c r="BX77" s="27"/>
      <c r="BY77" s="28"/>
      <c r="BZ77" s="28"/>
      <c r="CA77" s="28"/>
      <c r="CB77" s="28"/>
      <c r="CC77" s="28"/>
      <c r="CD77" s="28"/>
      <c r="CE77" s="28"/>
      <c r="CF77" s="28"/>
      <c r="CG77" s="28"/>
      <c r="CH77" s="28"/>
      <c r="CI77" s="28"/>
      <c r="CJ77" s="28"/>
      <c r="CK77" s="28"/>
      <c r="CL77" s="28"/>
      <c r="CM77" s="28"/>
      <c r="CN77" s="28"/>
      <c r="CO77" s="28"/>
      <c r="CP77" s="28"/>
      <c r="CQ77" s="28"/>
      <c r="CR77" s="28"/>
      <c r="CS77" s="28"/>
      <c r="CT77" s="28"/>
      <c r="CU77" s="28"/>
      <c r="CV77" s="28"/>
      <c r="CW77" s="28"/>
      <c r="CX77" s="28"/>
      <c r="CY77" s="28"/>
      <c r="CZ77" s="28"/>
      <c r="DA77" s="28"/>
      <c r="DB77" s="28"/>
      <c r="DC77" s="28"/>
      <c r="DD77" s="28"/>
      <c r="DE77" s="28"/>
      <c r="DF77" s="28"/>
      <c r="DG77" s="28"/>
      <c r="DH77" s="28"/>
      <c r="DI77" s="28"/>
      <c r="DJ77" s="28"/>
      <c r="DK77" s="29"/>
      <c r="DL77" s="29"/>
      <c r="DM77" s="29"/>
      <c r="DN77" s="29"/>
      <c r="DO77" s="29"/>
      <c r="DP77" s="29"/>
      <c r="DQ77" s="29"/>
      <c r="DR77" s="29"/>
      <c r="DS77" s="22"/>
      <c r="DT77" s="22"/>
      <c r="DU77" s="22"/>
      <c r="DV77" s="22"/>
    </row>
    <row r="78" spans="61:126" x14ac:dyDescent="0.25">
      <c r="BI78" s="22"/>
      <c r="BJ78" s="22"/>
      <c r="BK78" s="22"/>
      <c r="BL78" s="22"/>
      <c r="BM78" s="66"/>
      <c r="BN78" s="66"/>
      <c r="BO78" s="23"/>
      <c r="BP78" s="23"/>
      <c r="BQ78" s="23"/>
      <c r="BR78" s="24"/>
      <c r="BS78" s="24"/>
      <c r="BT78" s="68"/>
      <c r="BU78" s="68"/>
      <c r="BV78" s="25"/>
      <c r="BW78" s="26"/>
      <c r="BX78" s="27"/>
      <c r="BY78" s="28"/>
      <c r="BZ78" s="28"/>
      <c r="CA78" s="28"/>
      <c r="CB78" s="28"/>
      <c r="CC78" s="28"/>
      <c r="CD78" s="28"/>
      <c r="CE78" s="28"/>
      <c r="CF78" s="28"/>
      <c r="CG78" s="28"/>
      <c r="CH78" s="28"/>
      <c r="CI78" s="28"/>
      <c r="CJ78" s="28"/>
      <c r="CK78" s="28"/>
      <c r="CL78" s="28"/>
      <c r="CM78" s="28"/>
      <c r="CN78" s="28"/>
      <c r="CO78" s="28"/>
      <c r="CP78" s="28"/>
      <c r="CQ78" s="28"/>
      <c r="CR78" s="28"/>
      <c r="CS78" s="28"/>
      <c r="CT78" s="28"/>
      <c r="CU78" s="28"/>
      <c r="CV78" s="28"/>
      <c r="CW78" s="28"/>
      <c r="CX78" s="28"/>
      <c r="CY78" s="28"/>
      <c r="CZ78" s="28"/>
      <c r="DA78" s="28"/>
      <c r="DB78" s="28"/>
      <c r="DC78" s="28"/>
      <c r="DD78" s="28"/>
      <c r="DE78" s="28"/>
      <c r="DF78" s="28"/>
      <c r="DG78" s="28"/>
      <c r="DH78" s="28"/>
      <c r="DI78" s="28"/>
      <c r="DJ78" s="28"/>
      <c r="DK78" s="29"/>
      <c r="DL78" s="29"/>
      <c r="DM78" s="29"/>
      <c r="DN78" s="29"/>
      <c r="DO78" s="29"/>
      <c r="DP78" s="29"/>
      <c r="DQ78" s="29"/>
      <c r="DR78" s="29"/>
      <c r="DS78" s="22"/>
      <c r="DT78" s="22"/>
      <c r="DU78" s="22"/>
      <c r="DV78" s="22"/>
    </row>
    <row r="79" spans="61:126" x14ac:dyDescent="0.25">
      <c r="BI79" s="22"/>
      <c r="BJ79" s="22"/>
      <c r="BK79" s="22"/>
      <c r="BL79" s="22"/>
      <c r="BM79" s="66"/>
      <c r="BN79" s="66"/>
      <c r="BO79" s="23"/>
      <c r="BP79" s="23"/>
      <c r="BQ79" s="23"/>
      <c r="BR79" s="24"/>
      <c r="BS79" s="24"/>
      <c r="BT79" s="68"/>
      <c r="BU79" s="68"/>
      <c r="BV79" s="25"/>
      <c r="BW79" s="26"/>
      <c r="BX79" s="27"/>
      <c r="BY79" s="28"/>
      <c r="BZ79" s="28"/>
      <c r="CA79" s="28"/>
      <c r="CB79" s="28"/>
      <c r="CC79" s="28"/>
      <c r="CD79" s="28"/>
      <c r="CE79" s="28"/>
      <c r="CF79" s="28"/>
      <c r="CG79" s="28"/>
      <c r="CH79" s="28"/>
      <c r="CI79" s="28"/>
      <c r="CJ79" s="28"/>
      <c r="CK79" s="28"/>
      <c r="CL79" s="28"/>
      <c r="CM79" s="28"/>
      <c r="CN79" s="28"/>
      <c r="CO79" s="28"/>
      <c r="CP79" s="28"/>
      <c r="CQ79" s="28"/>
      <c r="CR79" s="28"/>
      <c r="CS79" s="28"/>
      <c r="CT79" s="28"/>
      <c r="CU79" s="28"/>
      <c r="CV79" s="28"/>
      <c r="CW79" s="28"/>
      <c r="CX79" s="28"/>
      <c r="CY79" s="28"/>
      <c r="CZ79" s="28"/>
      <c r="DA79" s="28"/>
      <c r="DB79" s="28"/>
      <c r="DC79" s="28"/>
      <c r="DD79" s="28"/>
      <c r="DE79" s="28"/>
      <c r="DF79" s="28"/>
      <c r="DG79" s="28"/>
      <c r="DH79" s="28"/>
      <c r="DI79" s="28"/>
      <c r="DJ79" s="28"/>
      <c r="DK79" s="29"/>
      <c r="DL79" s="29"/>
      <c r="DM79" s="29"/>
      <c r="DN79" s="29"/>
      <c r="DO79" s="29"/>
      <c r="DP79" s="29"/>
      <c r="DQ79" s="29"/>
      <c r="DR79" s="29"/>
      <c r="DS79" s="22"/>
      <c r="DT79" s="22"/>
      <c r="DU79" s="22"/>
      <c r="DV79" s="22"/>
    </row>
    <row r="80" spans="61:126" x14ac:dyDescent="0.25">
      <c r="BI80" s="22"/>
      <c r="BJ80" s="22"/>
      <c r="BK80" s="22"/>
      <c r="BL80" s="22"/>
      <c r="BM80" s="66"/>
      <c r="BN80" s="66"/>
      <c r="BO80" s="23"/>
      <c r="BP80" s="23"/>
      <c r="BQ80" s="23"/>
      <c r="BR80" s="24"/>
      <c r="BS80" s="24"/>
      <c r="BT80" s="68"/>
      <c r="BU80" s="68"/>
      <c r="BV80" s="25"/>
      <c r="BW80" s="26"/>
      <c r="BX80" s="27"/>
      <c r="BY80" s="28"/>
      <c r="BZ80" s="28"/>
      <c r="CA80" s="28"/>
      <c r="CB80" s="28"/>
      <c r="CC80" s="28"/>
      <c r="CD80" s="28"/>
      <c r="CE80" s="28"/>
      <c r="CF80" s="28"/>
      <c r="CG80" s="28"/>
      <c r="CH80" s="28"/>
      <c r="CI80" s="28"/>
      <c r="CJ80" s="28"/>
      <c r="CK80" s="28"/>
      <c r="CL80" s="28"/>
      <c r="CM80" s="28"/>
      <c r="CN80" s="28"/>
      <c r="CO80" s="28"/>
      <c r="CP80" s="28"/>
      <c r="CQ80" s="28"/>
      <c r="CR80" s="28"/>
      <c r="CS80" s="28"/>
      <c r="CT80" s="28"/>
      <c r="CU80" s="28"/>
      <c r="CV80" s="28"/>
      <c r="CW80" s="28"/>
      <c r="CX80" s="28"/>
      <c r="CY80" s="28"/>
      <c r="CZ80" s="28"/>
      <c r="DA80" s="28"/>
      <c r="DB80" s="28"/>
      <c r="DC80" s="28"/>
      <c r="DD80" s="28"/>
      <c r="DE80" s="28"/>
      <c r="DF80" s="28"/>
      <c r="DG80" s="28"/>
      <c r="DH80" s="28"/>
      <c r="DI80" s="28"/>
      <c r="DJ80" s="28"/>
      <c r="DK80" s="29"/>
      <c r="DL80" s="29"/>
      <c r="DM80" s="29"/>
      <c r="DN80" s="29"/>
      <c r="DO80" s="29"/>
      <c r="DP80" s="29"/>
      <c r="DQ80" s="29"/>
      <c r="DR80" s="29"/>
      <c r="DS80" s="22"/>
      <c r="DT80" s="22"/>
      <c r="DU80" s="22"/>
      <c r="DV80" s="22"/>
    </row>
    <row r="81" spans="15:126" x14ac:dyDescent="0.25">
      <c r="BI81" s="22"/>
      <c r="BJ81" s="22"/>
      <c r="BK81" s="22"/>
      <c r="BL81" s="22"/>
      <c r="BM81" s="66"/>
      <c r="BN81" s="66"/>
      <c r="BO81" s="23"/>
      <c r="BP81" s="23"/>
      <c r="BQ81" s="23"/>
      <c r="BR81" s="24"/>
      <c r="BS81" s="24"/>
      <c r="BT81" s="68"/>
      <c r="BU81" s="68"/>
      <c r="BV81" s="25"/>
      <c r="BW81" s="26"/>
      <c r="BX81" s="27"/>
      <c r="BY81" s="28"/>
      <c r="BZ81" s="28"/>
      <c r="CA81" s="28"/>
      <c r="CB81" s="28"/>
      <c r="CC81" s="28"/>
      <c r="CD81" s="28"/>
      <c r="CE81" s="28"/>
      <c r="CF81" s="28"/>
      <c r="CG81" s="28"/>
      <c r="CH81" s="28"/>
      <c r="CI81" s="28"/>
      <c r="CJ81" s="28"/>
      <c r="CK81" s="28"/>
      <c r="CL81" s="28"/>
      <c r="CM81" s="28"/>
      <c r="CN81" s="28"/>
      <c r="CO81" s="28"/>
      <c r="CP81" s="28"/>
      <c r="CQ81" s="28"/>
      <c r="CR81" s="28"/>
      <c r="CS81" s="28"/>
      <c r="CT81" s="28"/>
      <c r="CU81" s="28"/>
      <c r="CV81" s="28"/>
      <c r="CW81" s="28"/>
      <c r="CX81" s="28"/>
      <c r="CY81" s="28"/>
      <c r="CZ81" s="28"/>
      <c r="DA81" s="28"/>
      <c r="DB81" s="28"/>
      <c r="DC81" s="28"/>
      <c r="DD81" s="28"/>
      <c r="DE81" s="28"/>
      <c r="DF81" s="28"/>
      <c r="DG81" s="28"/>
      <c r="DH81" s="28"/>
      <c r="DI81" s="28"/>
      <c r="DJ81" s="28"/>
      <c r="DK81" s="29"/>
      <c r="DL81" s="29"/>
      <c r="DM81" s="29"/>
      <c r="DN81" s="29"/>
      <c r="DO81" s="29"/>
      <c r="DP81" s="29"/>
      <c r="DQ81" s="29"/>
      <c r="DR81" s="29"/>
      <c r="DS81" s="22"/>
      <c r="DT81" s="22"/>
      <c r="DU81" s="22"/>
      <c r="DV81" s="22"/>
    </row>
    <row r="82" spans="15:126" x14ac:dyDescent="0.25">
      <c r="BI82" s="22"/>
      <c r="BJ82" s="22"/>
      <c r="BK82" s="22"/>
      <c r="BL82" s="22"/>
      <c r="BM82" s="66"/>
      <c r="BN82" s="66"/>
      <c r="BO82" s="23"/>
      <c r="BP82" s="23"/>
      <c r="BQ82" s="23"/>
      <c r="BR82" s="24"/>
      <c r="BS82" s="24"/>
      <c r="BT82" s="68"/>
      <c r="BU82" s="68"/>
      <c r="BV82" s="25"/>
      <c r="BW82" s="26"/>
      <c r="BX82" s="27"/>
      <c r="BY82" s="28"/>
      <c r="BZ82" s="28"/>
      <c r="CA82" s="28"/>
      <c r="CB82" s="28"/>
      <c r="CC82" s="28"/>
      <c r="CD82" s="28"/>
      <c r="CE82" s="28"/>
      <c r="CF82" s="28"/>
      <c r="CG82" s="28"/>
      <c r="CH82" s="28"/>
      <c r="CI82" s="28"/>
      <c r="CJ82" s="28"/>
      <c r="CK82" s="28"/>
      <c r="CL82" s="28"/>
      <c r="CM82" s="28"/>
      <c r="CN82" s="28"/>
      <c r="CO82" s="28"/>
      <c r="CP82" s="28"/>
      <c r="CQ82" s="28"/>
      <c r="CR82" s="28"/>
      <c r="CS82" s="28"/>
      <c r="CT82" s="28"/>
      <c r="CU82" s="28"/>
      <c r="CV82" s="28"/>
      <c r="CW82" s="28"/>
      <c r="CX82" s="28"/>
      <c r="CY82" s="28"/>
      <c r="CZ82" s="28"/>
      <c r="DA82" s="28"/>
      <c r="DB82" s="28"/>
      <c r="DC82" s="28"/>
      <c r="DD82" s="28"/>
      <c r="DE82" s="28"/>
      <c r="DF82" s="28"/>
      <c r="DG82" s="28"/>
      <c r="DH82" s="28"/>
      <c r="DI82" s="28"/>
      <c r="DJ82" s="28"/>
      <c r="DK82" s="29"/>
      <c r="DL82" s="29"/>
      <c r="DM82" s="29"/>
      <c r="DN82" s="29"/>
      <c r="DO82" s="29"/>
      <c r="DP82" s="29"/>
      <c r="DQ82" s="29"/>
      <c r="DR82" s="29"/>
      <c r="DS82" s="22"/>
      <c r="DT82" s="22"/>
      <c r="DU82" s="22"/>
      <c r="DV82" s="22"/>
    </row>
    <row r="83" spans="15:126" x14ac:dyDescent="0.25">
      <c r="BI83" s="22"/>
      <c r="BJ83" s="22"/>
      <c r="BK83" s="22"/>
      <c r="BL83" s="22"/>
      <c r="BM83" s="66"/>
      <c r="BN83" s="66"/>
      <c r="BO83" s="23"/>
      <c r="BP83" s="23"/>
      <c r="BQ83" s="23"/>
      <c r="BR83" s="24"/>
      <c r="BS83" s="24"/>
      <c r="BT83" s="68"/>
      <c r="BU83" s="68"/>
      <c r="BV83" s="25"/>
      <c r="BW83" s="26"/>
      <c r="BX83" s="27"/>
      <c r="BY83" s="28"/>
      <c r="BZ83" s="28"/>
      <c r="CA83" s="28"/>
      <c r="CB83" s="28"/>
      <c r="CC83" s="28"/>
      <c r="CD83" s="28"/>
      <c r="CE83" s="28"/>
      <c r="CF83" s="28"/>
      <c r="CG83" s="28"/>
      <c r="CH83" s="28"/>
      <c r="CI83" s="28"/>
      <c r="CJ83" s="28"/>
      <c r="CK83" s="28"/>
      <c r="CL83" s="28"/>
      <c r="CM83" s="28"/>
      <c r="CN83" s="28"/>
      <c r="CO83" s="28"/>
      <c r="CP83" s="28"/>
      <c r="CQ83" s="28"/>
      <c r="CR83" s="28"/>
      <c r="CS83" s="28"/>
      <c r="CT83" s="28"/>
      <c r="CU83" s="28"/>
      <c r="CV83" s="28"/>
      <c r="CW83" s="28"/>
      <c r="CX83" s="28"/>
      <c r="CY83" s="28"/>
      <c r="CZ83" s="28"/>
      <c r="DA83" s="28"/>
      <c r="DB83" s="28"/>
      <c r="DC83" s="28"/>
      <c r="DD83" s="28"/>
      <c r="DE83" s="28"/>
      <c r="DF83" s="28"/>
      <c r="DG83" s="28"/>
      <c r="DH83" s="28"/>
      <c r="DI83" s="28"/>
      <c r="DJ83" s="28"/>
      <c r="DK83" s="29"/>
      <c r="DL83" s="29"/>
      <c r="DM83" s="29"/>
      <c r="DN83" s="29"/>
      <c r="DO83" s="29"/>
      <c r="DP83" s="29"/>
      <c r="DQ83" s="29"/>
      <c r="DR83" s="29"/>
      <c r="DS83" s="22"/>
      <c r="DT83" s="22"/>
      <c r="DU83" s="22"/>
      <c r="DV83" s="22"/>
    </row>
    <row r="84" spans="15:126" x14ac:dyDescent="0.25">
      <c r="BI84" s="22"/>
      <c r="BJ84" s="22"/>
      <c r="BK84" s="22"/>
      <c r="BL84" s="22"/>
      <c r="BM84" s="66"/>
      <c r="BN84" s="66"/>
      <c r="BO84" s="23"/>
      <c r="BP84" s="23"/>
      <c r="BQ84" s="23"/>
      <c r="BR84" s="24"/>
      <c r="BS84" s="24"/>
      <c r="BT84" s="68"/>
      <c r="BU84" s="68"/>
      <c r="BV84" s="25"/>
      <c r="BW84" s="26"/>
      <c r="BX84" s="27"/>
      <c r="BY84" s="28"/>
      <c r="BZ84" s="28"/>
      <c r="CA84" s="28"/>
      <c r="CB84" s="28"/>
      <c r="CC84" s="28"/>
      <c r="CD84" s="28"/>
      <c r="CE84" s="28"/>
      <c r="CF84" s="28"/>
      <c r="CG84" s="28"/>
      <c r="CH84" s="28"/>
      <c r="CI84" s="28"/>
      <c r="CJ84" s="28"/>
      <c r="CK84" s="28"/>
      <c r="CL84" s="28"/>
      <c r="CM84" s="28"/>
      <c r="CN84" s="28"/>
      <c r="CO84" s="28"/>
      <c r="CP84" s="28"/>
      <c r="CQ84" s="28"/>
      <c r="CR84" s="28"/>
      <c r="CS84" s="28"/>
      <c r="CT84" s="28"/>
      <c r="CU84" s="28"/>
      <c r="CV84" s="28"/>
      <c r="CW84" s="28"/>
      <c r="CX84" s="28"/>
      <c r="CY84" s="28"/>
      <c r="CZ84" s="28"/>
      <c r="DA84" s="28"/>
      <c r="DB84" s="28"/>
      <c r="DC84" s="28"/>
      <c r="DD84" s="28"/>
      <c r="DE84" s="28"/>
      <c r="DF84" s="28"/>
      <c r="DG84" s="28"/>
      <c r="DH84" s="28"/>
      <c r="DI84" s="28"/>
      <c r="DJ84" s="28"/>
      <c r="DK84" s="29"/>
      <c r="DL84" s="29"/>
      <c r="DM84" s="29"/>
      <c r="DN84" s="29"/>
      <c r="DO84" s="29"/>
      <c r="DP84" s="29"/>
      <c r="DQ84" s="29"/>
      <c r="DR84" s="29"/>
      <c r="DS84" s="22"/>
      <c r="DT84" s="22"/>
      <c r="DU84" s="22"/>
      <c r="DV84" s="22"/>
    </row>
    <row r="85" spans="15:126" x14ac:dyDescent="0.25">
      <c r="BI85" s="22"/>
      <c r="BJ85" s="22"/>
      <c r="BK85" s="22"/>
      <c r="BL85" s="22"/>
      <c r="BM85" s="66"/>
      <c r="BN85" s="66"/>
      <c r="BO85" s="23"/>
      <c r="BP85" s="23"/>
      <c r="BQ85" s="23"/>
      <c r="BR85" s="24"/>
      <c r="BS85" s="24"/>
      <c r="BT85" s="68"/>
      <c r="BU85" s="68"/>
      <c r="BV85" s="25"/>
      <c r="BW85" s="26"/>
      <c r="BX85" s="27"/>
      <c r="BY85" s="28"/>
      <c r="BZ85" s="28"/>
      <c r="CA85" s="28"/>
      <c r="CB85" s="28"/>
      <c r="CC85" s="28"/>
      <c r="CD85" s="28"/>
      <c r="CE85" s="28"/>
      <c r="CF85" s="28"/>
      <c r="CG85" s="28"/>
      <c r="CH85" s="28"/>
      <c r="CI85" s="28"/>
      <c r="CJ85" s="28"/>
      <c r="CK85" s="28"/>
      <c r="CL85" s="28"/>
      <c r="CM85" s="28"/>
      <c r="CN85" s="28"/>
      <c r="CO85" s="28"/>
      <c r="CP85" s="28"/>
      <c r="CQ85" s="28"/>
      <c r="CR85" s="28"/>
      <c r="CS85" s="28"/>
      <c r="CT85" s="28"/>
      <c r="CU85" s="28"/>
      <c r="CV85" s="28"/>
      <c r="CW85" s="28"/>
      <c r="CX85" s="28"/>
      <c r="CY85" s="28"/>
      <c r="CZ85" s="28"/>
      <c r="DA85" s="28"/>
      <c r="DB85" s="28"/>
      <c r="DC85" s="28"/>
      <c r="DD85" s="28"/>
      <c r="DE85" s="28"/>
      <c r="DF85" s="28"/>
      <c r="DG85" s="28"/>
      <c r="DH85" s="28"/>
      <c r="DI85" s="28"/>
      <c r="DJ85" s="28"/>
      <c r="DK85" s="29"/>
      <c r="DL85" s="29"/>
      <c r="DM85" s="29"/>
      <c r="DN85" s="29"/>
      <c r="DO85" s="29"/>
      <c r="DP85" s="29"/>
      <c r="DQ85" s="29"/>
      <c r="DR85" s="29"/>
      <c r="DS85" s="22"/>
      <c r="DT85" s="22"/>
      <c r="DU85" s="22"/>
      <c r="DV85" s="22"/>
    </row>
    <row r="86" spans="15:126" x14ac:dyDescent="0.25">
      <c r="BI86" s="22"/>
      <c r="BJ86" s="22"/>
      <c r="BK86" s="22"/>
      <c r="BL86" s="22"/>
      <c r="BM86" s="66"/>
      <c r="BN86" s="66"/>
      <c r="BO86" s="23"/>
      <c r="BP86" s="23"/>
      <c r="BQ86" s="23"/>
      <c r="BR86" s="24"/>
      <c r="BS86" s="24"/>
      <c r="BT86" s="68"/>
      <c r="BU86" s="68"/>
      <c r="BV86" s="25"/>
      <c r="BW86" s="26"/>
      <c r="BX86" s="27"/>
      <c r="BY86" s="28"/>
      <c r="BZ86" s="28"/>
      <c r="CA86" s="28"/>
      <c r="CB86" s="28"/>
      <c r="CC86" s="28"/>
      <c r="CD86" s="28"/>
      <c r="CE86" s="28"/>
      <c r="CF86" s="28"/>
      <c r="CG86" s="28"/>
      <c r="CH86" s="28"/>
      <c r="CI86" s="28"/>
      <c r="CJ86" s="28"/>
      <c r="CK86" s="28"/>
      <c r="CL86" s="28"/>
      <c r="CM86" s="28"/>
      <c r="CN86" s="28"/>
      <c r="CO86" s="28"/>
      <c r="CP86" s="28"/>
      <c r="CQ86" s="28"/>
      <c r="CR86" s="28"/>
      <c r="CS86" s="28"/>
      <c r="CT86" s="28"/>
      <c r="CU86" s="28"/>
      <c r="CV86" s="28"/>
      <c r="CW86" s="28"/>
      <c r="CX86" s="28"/>
      <c r="CY86" s="28"/>
      <c r="CZ86" s="28"/>
      <c r="DA86" s="28"/>
      <c r="DB86" s="28"/>
      <c r="DC86" s="28"/>
      <c r="DD86" s="28"/>
      <c r="DE86" s="28"/>
      <c r="DF86" s="28"/>
      <c r="DG86" s="28"/>
      <c r="DH86" s="28"/>
      <c r="DI86" s="28"/>
      <c r="DJ86" s="28"/>
      <c r="DK86" s="29"/>
      <c r="DL86" s="29"/>
      <c r="DM86" s="29"/>
      <c r="DN86" s="29"/>
      <c r="DO86" s="29"/>
      <c r="DP86" s="29"/>
      <c r="DQ86" s="29"/>
      <c r="DR86" s="29"/>
      <c r="DS86" s="22"/>
      <c r="DT86" s="22"/>
      <c r="DU86" s="22"/>
      <c r="DV86" s="22"/>
    </row>
    <row r="87" spans="15:126" x14ac:dyDescent="0.25">
      <c r="BI87" s="22"/>
      <c r="BJ87" s="22"/>
      <c r="BK87" s="22"/>
      <c r="BL87" s="22"/>
      <c r="BM87" s="66"/>
      <c r="BN87" s="66"/>
      <c r="BO87" s="23"/>
      <c r="BP87" s="23"/>
      <c r="BQ87" s="23"/>
      <c r="BR87" s="24"/>
      <c r="BS87" s="24"/>
      <c r="BT87" s="68"/>
      <c r="BU87" s="68"/>
      <c r="BV87" s="25"/>
      <c r="BW87" s="26"/>
      <c r="BX87" s="27"/>
      <c r="BY87" s="28"/>
      <c r="BZ87" s="28"/>
      <c r="CA87" s="28"/>
      <c r="CB87" s="28"/>
      <c r="CC87" s="28"/>
      <c r="CD87" s="28"/>
      <c r="CE87" s="28"/>
      <c r="CF87" s="28"/>
      <c r="CG87" s="28"/>
      <c r="CH87" s="28"/>
      <c r="CI87" s="28"/>
      <c r="CJ87" s="28"/>
      <c r="CK87" s="28"/>
      <c r="CL87" s="28"/>
      <c r="CM87" s="28"/>
      <c r="CN87" s="28"/>
      <c r="CO87" s="28"/>
      <c r="CP87" s="28"/>
      <c r="CQ87" s="28"/>
      <c r="CR87" s="28"/>
      <c r="CS87" s="28"/>
      <c r="CT87" s="28"/>
      <c r="CU87" s="28"/>
      <c r="CV87" s="28"/>
      <c r="CW87" s="28"/>
      <c r="CX87" s="28"/>
      <c r="CY87" s="28"/>
      <c r="CZ87" s="28"/>
      <c r="DA87" s="28"/>
      <c r="DB87" s="28"/>
      <c r="DC87" s="28"/>
      <c r="DD87" s="28"/>
      <c r="DE87" s="28"/>
      <c r="DF87" s="28"/>
      <c r="DG87" s="28"/>
      <c r="DH87" s="28"/>
      <c r="DI87" s="28"/>
      <c r="DJ87" s="28"/>
      <c r="DK87" s="29"/>
      <c r="DL87" s="29"/>
      <c r="DM87" s="29"/>
      <c r="DN87" s="29"/>
      <c r="DO87" s="29"/>
      <c r="DP87" s="29"/>
      <c r="DQ87" s="29"/>
      <c r="DR87" s="29"/>
      <c r="DS87" s="22"/>
      <c r="DT87" s="22"/>
      <c r="DU87" s="22"/>
      <c r="DV87" s="22"/>
    </row>
    <row r="88" spans="15:126" ht="15.75" customHeight="1" x14ac:dyDescent="0.25">
      <c r="BI88" s="22"/>
      <c r="BJ88" s="22"/>
      <c r="BK88" s="22"/>
      <c r="BL88" s="22"/>
      <c r="BM88" s="66"/>
      <c r="BN88" s="66"/>
      <c r="BO88" s="23"/>
      <c r="BP88" s="23"/>
      <c r="BQ88" s="23"/>
      <c r="BR88" s="24"/>
      <c r="BS88" s="24"/>
      <c r="BT88" s="68"/>
      <c r="BU88" s="68"/>
      <c r="BV88" s="25"/>
      <c r="BW88" s="26"/>
      <c r="BX88" s="27"/>
      <c r="BY88" s="28"/>
      <c r="BZ88" s="28"/>
      <c r="CA88" s="28"/>
      <c r="CB88" s="28"/>
      <c r="CC88" s="28"/>
      <c r="CD88" s="28"/>
      <c r="CE88" s="28"/>
      <c r="CF88" s="28"/>
      <c r="CG88" s="28"/>
      <c r="CH88" s="28"/>
      <c r="CI88" s="28"/>
      <c r="CJ88" s="28"/>
      <c r="CK88" s="28"/>
      <c r="CL88" s="28"/>
      <c r="CM88" s="28"/>
      <c r="CN88" s="28"/>
      <c r="CO88" s="28"/>
      <c r="CP88" s="28"/>
      <c r="CQ88" s="28"/>
      <c r="CR88" s="28"/>
      <c r="CS88" s="28"/>
      <c r="CT88" s="28"/>
      <c r="CU88" s="28"/>
      <c r="CV88" s="28"/>
      <c r="CW88" s="28"/>
      <c r="CX88" s="28"/>
      <c r="CY88" s="28"/>
      <c r="CZ88" s="28"/>
      <c r="DA88" s="28"/>
      <c r="DB88" s="28"/>
      <c r="DC88" s="28"/>
      <c r="DD88" s="28"/>
      <c r="DE88" s="28"/>
      <c r="DF88" s="28"/>
      <c r="DG88" s="28"/>
      <c r="DH88" s="28"/>
      <c r="DI88" s="28"/>
      <c r="DJ88" s="28"/>
      <c r="DK88" s="29"/>
      <c r="DL88" s="29"/>
      <c r="DM88" s="29"/>
      <c r="DN88" s="29"/>
      <c r="DO88" s="29"/>
      <c r="DP88" s="29"/>
      <c r="DQ88" s="29"/>
      <c r="DR88" s="29"/>
      <c r="DS88" s="22"/>
      <c r="DT88" s="22"/>
      <c r="DU88" s="22"/>
      <c r="DV88" s="22"/>
    </row>
    <row r="89" spans="15:126" x14ac:dyDescent="0.25">
      <c r="BI89" s="22"/>
      <c r="BJ89" s="22"/>
      <c r="BK89" s="22"/>
      <c r="BL89" s="22"/>
      <c r="BM89" s="66"/>
      <c r="BN89" s="66"/>
      <c r="BO89" s="23"/>
      <c r="BP89" s="23"/>
      <c r="BQ89" s="23"/>
      <c r="BR89" s="24"/>
      <c r="BS89" s="24"/>
      <c r="BT89" s="68"/>
      <c r="BU89" s="68"/>
      <c r="BV89" s="25"/>
      <c r="BW89" s="26"/>
      <c r="BX89" s="27"/>
      <c r="BY89" s="28"/>
      <c r="BZ89" s="28"/>
      <c r="CA89" s="28"/>
      <c r="CB89" s="28"/>
      <c r="CC89" s="28"/>
      <c r="CD89" s="28"/>
      <c r="CE89" s="28"/>
      <c r="CF89" s="28"/>
      <c r="CG89" s="28"/>
      <c r="CH89" s="28"/>
      <c r="CI89" s="28"/>
      <c r="CJ89" s="28"/>
      <c r="CK89" s="28"/>
      <c r="CL89" s="28"/>
      <c r="CM89" s="28"/>
      <c r="CN89" s="28"/>
      <c r="CO89" s="28"/>
      <c r="CP89" s="28"/>
      <c r="CQ89" s="28"/>
      <c r="CR89" s="28"/>
      <c r="CS89" s="28"/>
      <c r="CT89" s="28"/>
      <c r="CU89" s="28"/>
      <c r="CV89" s="28"/>
      <c r="CW89" s="28"/>
      <c r="CX89" s="28"/>
      <c r="CY89" s="28"/>
      <c r="CZ89" s="28"/>
      <c r="DA89" s="28"/>
      <c r="DB89" s="28"/>
      <c r="DC89" s="28"/>
      <c r="DD89" s="28"/>
      <c r="DE89" s="28"/>
      <c r="DF89" s="28"/>
      <c r="DG89" s="28"/>
      <c r="DH89" s="28"/>
      <c r="DI89" s="28"/>
      <c r="DJ89" s="28"/>
      <c r="DK89" s="29"/>
      <c r="DL89" s="29"/>
      <c r="DM89" s="29"/>
      <c r="DN89" s="29"/>
      <c r="DO89" s="29"/>
      <c r="DP89" s="29"/>
      <c r="DQ89" s="29"/>
      <c r="DR89" s="29"/>
      <c r="DS89" s="22"/>
      <c r="DT89" s="22"/>
      <c r="DU89" s="22"/>
      <c r="DV89" s="22"/>
    </row>
    <row r="90" spans="15:126" x14ac:dyDescent="0.25">
      <c r="O90" s="63"/>
      <c r="BI90" s="22"/>
      <c r="BJ90" s="22"/>
      <c r="BK90" s="22"/>
      <c r="BL90" s="22"/>
      <c r="BM90" s="66"/>
      <c r="BN90" s="66"/>
      <c r="BO90" s="23"/>
      <c r="BP90" s="23"/>
      <c r="BQ90" s="23"/>
      <c r="BR90" s="24"/>
      <c r="BS90" s="24"/>
      <c r="BT90" s="68"/>
      <c r="BU90" s="68"/>
      <c r="BV90" s="25"/>
      <c r="BW90" s="26"/>
      <c r="BX90" s="27"/>
      <c r="BY90" s="28"/>
      <c r="BZ90" s="28"/>
      <c r="CA90" s="28"/>
      <c r="CB90" s="28"/>
      <c r="CC90" s="28"/>
      <c r="CD90" s="28"/>
      <c r="CE90" s="28"/>
      <c r="CF90" s="28"/>
      <c r="CG90" s="28"/>
      <c r="CH90" s="28"/>
      <c r="CI90" s="28"/>
      <c r="CJ90" s="28"/>
      <c r="CK90" s="28"/>
      <c r="CL90" s="28"/>
      <c r="CM90" s="28"/>
      <c r="CN90" s="28"/>
      <c r="CO90" s="28"/>
      <c r="CP90" s="28"/>
      <c r="CQ90" s="28"/>
      <c r="CR90" s="28"/>
      <c r="CS90" s="28"/>
      <c r="CT90" s="28"/>
      <c r="CU90" s="28"/>
      <c r="CV90" s="28"/>
      <c r="CW90" s="28"/>
      <c r="CX90" s="28"/>
      <c r="CY90" s="28"/>
      <c r="CZ90" s="28"/>
      <c r="DA90" s="28"/>
      <c r="DB90" s="28"/>
      <c r="DC90" s="28"/>
      <c r="DD90" s="28"/>
      <c r="DE90" s="28"/>
      <c r="DF90" s="28"/>
      <c r="DG90" s="28"/>
      <c r="DH90" s="28"/>
      <c r="DI90" s="28"/>
      <c r="DJ90" s="28"/>
      <c r="DK90" s="29"/>
      <c r="DL90" s="29"/>
      <c r="DM90" s="29"/>
      <c r="DN90" s="29"/>
      <c r="DO90" s="29"/>
      <c r="DP90" s="29"/>
      <c r="DQ90" s="29"/>
      <c r="DR90" s="29"/>
      <c r="DS90" s="22"/>
      <c r="DT90" s="22"/>
      <c r="DU90" s="22"/>
      <c r="DV90" s="22"/>
    </row>
    <row r="91" spans="15:126" x14ac:dyDescent="0.25">
      <c r="BI91" s="22"/>
      <c r="BJ91" s="22"/>
      <c r="BK91" s="22"/>
      <c r="BL91" s="22"/>
      <c r="BM91" s="66"/>
      <c r="BN91" s="66"/>
      <c r="BO91" s="23"/>
      <c r="BP91" s="23"/>
      <c r="BQ91" s="23"/>
      <c r="BR91" s="24"/>
      <c r="BS91" s="24"/>
      <c r="BT91" s="68"/>
      <c r="BU91" s="68"/>
      <c r="BV91" s="25"/>
      <c r="BW91" s="26"/>
      <c r="BX91" s="27"/>
      <c r="BY91" s="28"/>
      <c r="BZ91" s="28"/>
      <c r="CA91" s="28"/>
      <c r="CB91" s="28"/>
      <c r="CC91" s="28"/>
      <c r="CD91" s="28"/>
      <c r="CE91" s="28"/>
      <c r="CF91" s="28"/>
      <c r="CG91" s="28"/>
      <c r="CH91" s="28"/>
      <c r="CI91" s="28"/>
      <c r="CJ91" s="28"/>
      <c r="CK91" s="28"/>
      <c r="CL91" s="28"/>
      <c r="CM91" s="28"/>
      <c r="CN91" s="28"/>
      <c r="CO91" s="28"/>
      <c r="CP91" s="28"/>
      <c r="CQ91" s="28"/>
      <c r="CR91" s="28"/>
      <c r="CS91" s="28"/>
      <c r="CT91" s="28"/>
      <c r="CU91" s="28"/>
      <c r="CV91" s="28"/>
      <c r="CW91" s="28"/>
      <c r="CX91" s="28"/>
      <c r="CY91" s="28"/>
      <c r="CZ91" s="28"/>
      <c r="DA91" s="28"/>
      <c r="DB91" s="28"/>
      <c r="DC91" s="28"/>
      <c r="DD91" s="28"/>
      <c r="DE91" s="28"/>
      <c r="DF91" s="28"/>
      <c r="DG91" s="28"/>
      <c r="DH91" s="28"/>
      <c r="DI91" s="28"/>
      <c r="DJ91" s="28"/>
      <c r="DK91" s="29"/>
      <c r="DL91" s="29"/>
      <c r="DM91" s="29"/>
      <c r="DN91" s="29"/>
      <c r="DO91" s="29"/>
      <c r="DP91" s="29"/>
      <c r="DQ91" s="29"/>
      <c r="DR91" s="29"/>
      <c r="DS91" s="22"/>
      <c r="DT91" s="22"/>
      <c r="DU91" s="22"/>
      <c r="DV91" s="22"/>
    </row>
    <row r="92" spans="15:126" x14ac:dyDescent="0.25">
      <c r="BI92" s="22"/>
      <c r="BJ92" s="22"/>
      <c r="BK92" s="22"/>
      <c r="BL92" s="22"/>
      <c r="BM92" s="66"/>
      <c r="BN92" s="66"/>
      <c r="BO92" s="23"/>
      <c r="BP92" s="23"/>
      <c r="BQ92" s="23"/>
      <c r="BR92" s="24"/>
      <c r="BS92" s="24"/>
      <c r="BT92" s="68"/>
      <c r="BU92" s="68"/>
      <c r="BV92" s="25"/>
      <c r="BW92" s="26"/>
      <c r="BX92" s="27"/>
      <c r="BY92" s="28"/>
      <c r="BZ92" s="28"/>
      <c r="CA92" s="28"/>
      <c r="CB92" s="28"/>
      <c r="CC92" s="28"/>
      <c r="CD92" s="28"/>
      <c r="CE92" s="28"/>
      <c r="CF92" s="28"/>
      <c r="CG92" s="28"/>
      <c r="CH92" s="28"/>
      <c r="CI92" s="28"/>
      <c r="CJ92" s="28"/>
      <c r="CK92" s="28"/>
      <c r="CL92" s="28"/>
      <c r="CM92" s="28"/>
      <c r="CN92" s="28"/>
      <c r="CO92" s="28"/>
      <c r="CP92" s="28"/>
      <c r="CQ92" s="28"/>
      <c r="CR92" s="28"/>
      <c r="CS92" s="28"/>
      <c r="CT92" s="28"/>
      <c r="CU92" s="28"/>
      <c r="CV92" s="28"/>
      <c r="CW92" s="28"/>
      <c r="CX92" s="28"/>
      <c r="CY92" s="28"/>
      <c r="CZ92" s="28"/>
      <c r="DA92" s="28"/>
      <c r="DB92" s="28"/>
      <c r="DC92" s="28"/>
      <c r="DD92" s="28"/>
      <c r="DE92" s="28"/>
      <c r="DF92" s="28"/>
      <c r="DG92" s="28"/>
      <c r="DH92" s="28"/>
      <c r="DI92" s="28"/>
      <c r="DJ92" s="28"/>
      <c r="DK92" s="29"/>
      <c r="DL92" s="29"/>
      <c r="DM92" s="29"/>
      <c r="DN92" s="29"/>
      <c r="DO92" s="29"/>
      <c r="DP92" s="29"/>
      <c r="DQ92" s="29"/>
      <c r="DR92" s="29"/>
      <c r="DS92" s="22"/>
      <c r="DT92" s="22"/>
      <c r="DU92" s="22"/>
      <c r="DV92" s="22"/>
    </row>
    <row r="93" spans="15:126" x14ac:dyDescent="0.25">
      <c r="BI93" s="22"/>
      <c r="BJ93" s="22"/>
      <c r="BK93" s="22"/>
      <c r="BL93" s="22"/>
      <c r="BM93" s="66"/>
      <c r="BN93" s="66"/>
      <c r="BO93" s="23"/>
      <c r="BP93" s="23"/>
      <c r="BQ93" s="23"/>
      <c r="BR93" s="24"/>
      <c r="BS93" s="24"/>
      <c r="BT93" s="68"/>
      <c r="BU93" s="68"/>
      <c r="BV93" s="25"/>
      <c r="BW93" s="26"/>
      <c r="BX93" s="27"/>
      <c r="BY93" s="28"/>
      <c r="BZ93" s="28"/>
      <c r="CA93" s="28"/>
      <c r="CB93" s="28"/>
      <c r="CC93" s="28"/>
      <c r="CD93" s="28"/>
      <c r="CE93" s="28"/>
      <c r="CF93" s="28"/>
      <c r="CG93" s="28"/>
      <c r="CH93" s="28"/>
      <c r="CI93" s="28"/>
      <c r="CJ93" s="28"/>
      <c r="CK93" s="28"/>
      <c r="CL93" s="28"/>
      <c r="CM93" s="28"/>
      <c r="CN93" s="28"/>
      <c r="CO93" s="28"/>
      <c r="CP93" s="28"/>
      <c r="CQ93" s="28"/>
      <c r="CR93" s="28"/>
      <c r="CS93" s="28"/>
      <c r="CT93" s="28"/>
      <c r="CU93" s="28"/>
      <c r="CV93" s="28"/>
      <c r="CW93" s="28"/>
      <c r="CX93" s="28"/>
      <c r="CY93" s="28"/>
      <c r="CZ93" s="28"/>
      <c r="DA93" s="28"/>
      <c r="DB93" s="28"/>
      <c r="DC93" s="28"/>
      <c r="DD93" s="28"/>
      <c r="DE93" s="28"/>
      <c r="DF93" s="28"/>
      <c r="DG93" s="28"/>
      <c r="DH93" s="28"/>
      <c r="DI93" s="28"/>
      <c r="DJ93" s="28"/>
      <c r="DK93" s="29"/>
      <c r="DL93" s="29"/>
      <c r="DM93" s="29"/>
      <c r="DN93" s="29"/>
      <c r="DO93" s="29"/>
      <c r="DP93" s="29"/>
      <c r="DQ93" s="29"/>
      <c r="DR93" s="29"/>
      <c r="DS93" s="22"/>
      <c r="DT93" s="22"/>
      <c r="DU93" s="22"/>
      <c r="DV93" s="22"/>
    </row>
    <row r="94" spans="15:126" x14ac:dyDescent="0.25">
      <c r="BI94" s="22"/>
      <c r="BJ94" s="22"/>
      <c r="BK94" s="22"/>
      <c r="BL94" s="22"/>
      <c r="BM94" s="66"/>
      <c r="BN94" s="66"/>
      <c r="BO94" s="23"/>
      <c r="BP94" s="23"/>
      <c r="BQ94" s="23"/>
      <c r="BR94" s="24"/>
      <c r="BS94" s="24"/>
      <c r="BT94" s="68"/>
      <c r="BU94" s="68"/>
      <c r="BV94" s="25"/>
      <c r="BW94" s="26"/>
      <c r="BX94" s="27"/>
      <c r="BY94" s="28"/>
      <c r="BZ94" s="28"/>
      <c r="CA94" s="28"/>
      <c r="CB94" s="28"/>
      <c r="CC94" s="28"/>
      <c r="CD94" s="28"/>
      <c r="CE94" s="28"/>
      <c r="CF94" s="28"/>
      <c r="CG94" s="28"/>
      <c r="CH94" s="28"/>
      <c r="CI94" s="28"/>
      <c r="CJ94" s="28"/>
      <c r="CK94" s="28"/>
      <c r="CL94" s="28"/>
      <c r="CM94" s="28"/>
      <c r="CN94" s="28"/>
      <c r="CO94" s="28"/>
      <c r="CP94" s="28"/>
      <c r="CQ94" s="28"/>
      <c r="CR94" s="28"/>
      <c r="CS94" s="28"/>
      <c r="CT94" s="28"/>
      <c r="CU94" s="28"/>
      <c r="CV94" s="28"/>
      <c r="CW94" s="28"/>
      <c r="CX94" s="28"/>
      <c r="CY94" s="28"/>
      <c r="CZ94" s="28"/>
      <c r="DA94" s="28"/>
      <c r="DB94" s="28"/>
      <c r="DC94" s="28"/>
      <c r="DD94" s="28"/>
      <c r="DE94" s="28"/>
      <c r="DF94" s="28"/>
      <c r="DG94" s="28"/>
      <c r="DH94" s="28"/>
      <c r="DI94" s="28"/>
      <c r="DJ94" s="28"/>
      <c r="DK94" s="29"/>
      <c r="DL94" s="29"/>
      <c r="DM94" s="29"/>
      <c r="DN94" s="29"/>
      <c r="DO94" s="29"/>
      <c r="DP94" s="29"/>
      <c r="DQ94" s="29"/>
      <c r="DR94" s="29"/>
      <c r="DS94" s="22"/>
      <c r="DT94" s="22"/>
      <c r="DU94" s="22"/>
      <c r="DV94" s="22"/>
    </row>
    <row r="95" spans="15:126" x14ac:dyDescent="0.25">
      <c r="BI95" s="22"/>
      <c r="BJ95" s="22"/>
      <c r="BK95" s="22"/>
      <c r="BL95" s="22"/>
      <c r="BM95" s="66"/>
      <c r="BN95" s="66"/>
      <c r="BO95" s="23"/>
      <c r="BP95" s="23"/>
      <c r="BQ95" s="23"/>
      <c r="BR95" s="24"/>
      <c r="BS95" s="24"/>
      <c r="BT95" s="68"/>
      <c r="BU95" s="68"/>
      <c r="BV95" s="25"/>
      <c r="BW95" s="26"/>
      <c r="BX95" s="27"/>
      <c r="BY95" s="28"/>
      <c r="BZ95" s="28"/>
      <c r="CA95" s="28"/>
      <c r="CB95" s="28"/>
      <c r="CC95" s="28"/>
      <c r="CD95" s="28"/>
      <c r="CE95" s="28"/>
      <c r="CF95" s="28"/>
      <c r="CG95" s="28"/>
      <c r="CH95" s="28"/>
      <c r="CI95" s="28"/>
      <c r="CJ95" s="28"/>
      <c r="CK95" s="28"/>
      <c r="CL95" s="28"/>
      <c r="CM95" s="28"/>
      <c r="CN95" s="28"/>
      <c r="CO95" s="28"/>
      <c r="CP95" s="28"/>
      <c r="CQ95" s="28"/>
      <c r="CR95" s="28"/>
      <c r="CS95" s="28"/>
      <c r="CT95" s="28"/>
      <c r="CU95" s="28"/>
      <c r="CV95" s="28"/>
      <c r="CW95" s="28"/>
      <c r="CX95" s="28"/>
      <c r="CY95" s="28"/>
      <c r="CZ95" s="28"/>
      <c r="DA95" s="28"/>
      <c r="DB95" s="28"/>
      <c r="DC95" s="28"/>
      <c r="DD95" s="28"/>
      <c r="DE95" s="28"/>
      <c r="DF95" s="28"/>
      <c r="DG95" s="28"/>
      <c r="DH95" s="28"/>
      <c r="DI95" s="28"/>
      <c r="DJ95" s="28"/>
      <c r="DK95" s="29"/>
      <c r="DL95" s="29"/>
      <c r="DM95" s="29"/>
      <c r="DN95" s="29"/>
      <c r="DO95" s="29"/>
      <c r="DP95" s="29"/>
      <c r="DQ95" s="29"/>
      <c r="DR95" s="29"/>
      <c r="DS95" s="22"/>
      <c r="DT95" s="22"/>
      <c r="DU95" s="22"/>
      <c r="DV95" s="22"/>
    </row>
    <row r="96" spans="15:126" x14ac:dyDescent="0.25">
      <c r="BI96" s="22"/>
      <c r="BJ96" s="22"/>
      <c r="BK96" s="22"/>
      <c r="BL96" s="22"/>
      <c r="BM96" s="66"/>
      <c r="BN96" s="66"/>
      <c r="BO96" s="23"/>
      <c r="BP96" s="23"/>
      <c r="BQ96" s="23"/>
      <c r="BR96" s="24"/>
      <c r="BS96" s="24"/>
      <c r="BT96" s="68"/>
      <c r="BU96" s="68"/>
      <c r="BV96" s="25"/>
      <c r="BW96" s="26"/>
      <c r="BX96" s="27"/>
      <c r="BY96" s="28"/>
      <c r="BZ96" s="28"/>
      <c r="CA96" s="28"/>
      <c r="CB96" s="28"/>
      <c r="CC96" s="28"/>
      <c r="CD96" s="28"/>
      <c r="CE96" s="28"/>
      <c r="CF96" s="28"/>
      <c r="CG96" s="28"/>
      <c r="CH96" s="28"/>
      <c r="CI96" s="28"/>
      <c r="CJ96" s="28"/>
      <c r="CK96" s="28"/>
      <c r="CL96" s="28"/>
      <c r="CM96" s="28"/>
      <c r="CN96" s="28"/>
      <c r="CO96" s="28"/>
      <c r="CP96" s="28"/>
      <c r="CQ96" s="28"/>
      <c r="CR96" s="28"/>
      <c r="CS96" s="28"/>
      <c r="CT96" s="28"/>
      <c r="CU96" s="28"/>
      <c r="CV96" s="28"/>
      <c r="CW96" s="28"/>
      <c r="CX96" s="28"/>
      <c r="CY96" s="28"/>
      <c r="CZ96" s="28"/>
      <c r="DA96" s="28"/>
      <c r="DB96" s="28"/>
      <c r="DC96" s="28"/>
      <c r="DD96" s="28"/>
      <c r="DE96" s="28"/>
      <c r="DF96" s="28"/>
      <c r="DG96" s="28"/>
      <c r="DH96" s="28"/>
      <c r="DI96" s="28"/>
      <c r="DJ96" s="28"/>
      <c r="DK96" s="29"/>
      <c r="DL96" s="29"/>
      <c r="DM96" s="29"/>
      <c r="DN96" s="29"/>
      <c r="DO96" s="29"/>
      <c r="DP96" s="29"/>
      <c r="DQ96" s="29"/>
      <c r="DR96" s="29"/>
      <c r="DS96" s="22"/>
      <c r="DT96" s="22"/>
      <c r="DU96" s="22"/>
      <c r="DV96" s="22"/>
    </row>
    <row r="97" spans="61:126" x14ac:dyDescent="0.25">
      <c r="BI97" s="22"/>
      <c r="BJ97" s="22"/>
      <c r="BK97" s="22"/>
      <c r="BL97" s="22"/>
      <c r="BM97" s="66"/>
      <c r="BN97" s="66"/>
      <c r="BO97" s="23"/>
      <c r="BP97" s="23"/>
      <c r="BQ97" s="23"/>
      <c r="BR97" s="24"/>
      <c r="BS97" s="24"/>
      <c r="BT97" s="68"/>
      <c r="BU97" s="68"/>
      <c r="BV97" s="25"/>
      <c r="BW97" s="26"/>
      <c r="BX97" s="27"/>
      <c r="BY97" s="28"/>
      <c r="BZ97" s="28"/>
      <c r="CA97" s="28"/>
      <c r="CB97" s="28"/>
      <c r="CC97" s="28"/>
      <c r="CD97" s="28"/>
      <c r="CE97" s="28"/>
      <c r="CF97" s="28"/>
      <c r="CG97" s="28"/>
      <c r="CH97" s="28"/>
      <c r="CI97" s="28"/>
      <c r="CJ97" s="28"/>
      <c r="CK97" s="28"/>
      <c r="CL97" s="28"/>
      <c r="CM97" s="28"/>
      <c r="CN97" s="28"/>
      <c r="CO97" s="28"/>
      <c r="CP97" s="28"/>
      <c r="CQ97" s="28"/>
      <c r="CR97" s="28"/>
      <c r="CS97" s="28"/>
      <c r="CT97" s="28"/>
      <c r="CU97" s="28"/>
      <c r="CV97" s="28"/>
      <c r="CW97" s="28"/>
      <c r="CX97" s="28"/>
      <c r="CY97" s="28"/>
      <c r="CZ97" s="28"/>
      <c r="DA97" s="28"/>
      <c r="DB97" s="28"/>
      <c r="DC97" s="28"/>
      <c r="DD97" s="28"/>
      <c r="DE97" s="28"/>
      <c r="DF97" s="28"/>
      <c r="DG97" s="28"/>
      <c r="DH97" s="28"/>
      <c r="DI97" s="28"/>
      <c r="DJ97" s="28"/>
      <c r="DK97" s="29"/>
      <c r="DL97" s="29"/>
      <c r="DM97" s="29"/>
      <c r="DN97" s="29"/>
      <c r="DO97" s="29"/>
      <c r="DP97" s="29"/>
      <c r="DQ97" s="29"/>
      <c r="DR97" s="29"/>
      <c r="DS97" s="22"/>
      <c r="DT97" s="22"/>
      <c r="DU97" s="22"/>
      <c r="DV97" s="22"/>
    </row>
    <row r="98" spans="61:126" x14ac:dyDescent="0.25">
      <c r="BI98" s="22"/>
      <c r="BJ98" s="22"/>
      <c r="BK98" s="22"/>
      <c r="BL98" s="22"/>
      <c r="BM98" s="66"/>
      <c r="BN98" s="66"/>
      <c r="BO98" s="23"/>
      <c r="BP98" s="23"/>
      <c r="BQ98" s="23"/>
      <c r="BR98" s="24"/>
      <c r="BS98" s="24"/>
      <c r="BT98" s="68"/>
      <c r="BU98" s="68"/>
      <c r="BV98" s="25"/>
      <c r="BW98" s="26"/>
      <c r="BX98" s="27"/>
      <c r="BY98" s="28"/>
      <c r="BZ98" s="28"/>
      <c r="CA98" s="28"/>
      <c r="CB98" s="28"/>
      <c r="CC98" s="28"/>
      <c r="CD98" s="28"/>
      <c r="CE98" s="28"/>
      <c r="CF98" s="28"/>
      <c r="CG98" s="28"/>
      <c r="CH98" s="28"/>
      <c r="CI98" s="28"/>
      <c r="CJ98" s="28"/>
      <c r="CK98" s="28"/>
      <c r="CL98" s="28"/>
      <c r="CM98" s="28"/>
      <c r="CN98" s="28"/>
      <c r="CO98" s="28"/>
      <c r="CP98" s="28"/>
      <c r="CQ98" s="28"/>
      <c r="CR98" s="28"/>
      <c r="CS98" s="28"/>
      <c r="CT98" s="28"/>
      <c r="CU98" s="28"/>
      <c r="CV98" s="28"/>
      <c r="CW98" s="28"/>
      <c r="CX98" s="28"/>
      <c r="CY98" s="28"/>
      <c r="CZ98" s="28"/>
      <c r="DA98" s="28"/>
      <c r="DB98" s="28"/>
      <c r="DC98" s="28"/>
      <c r="DD98" s="28"/>
      <c r="DE98" s="28"/>
      <c r="DF98" s="28"/>
      <c r="DG98" s="28"/>
      <c r="DH98" s="28"/>
      <c r="DI98" s="28"/>
      <c r="DJ98" s="28"/>
      <c r="DK98" s="29"/>
      <c r="DL98" s="29"/>
      <c r="DM98" s="29"/>
      <c r="DN98" s="29"/>
      <c r="DO98" s="29"/>
      <c r="DP98" s="29"/>
      <c r="DQ98" s="29"/>
      <c r="DR98" s="29"/>
      <c r="DS98" s="22"/>
      <c r="DT98" s="22"/>
      <c r="DU98" s="22"/>
      <c r="DV98" s="22"/>
    </row>
    <row r="99" spans="61:126" x14ac:dyDescent="0.25">
      <c r="BI99" s="22"/>
      <c r="BJ99" s="22"/>
      <c r="BK99" s="22"/>
      <c r="BL99" s="22"/>
      <c r="BM99" s="66"/>
      <c r="BN99" s="66"/>
      <c r="BO99" s="23"/>
      <c r="BP99" s="23"/>
      <c r="BQ99" s="23"/>
      <c r="BR99" s="24"/>
      <c r="BS99" s="24"/>
      <c r="BT99" s="68"/>
      <c r="BU99" s="68"/>
      <c r="BV99" s="25"/>
      <c r="BW99" s="26"/>
      <c r="BX99" s="27"/>
      <c r="BY99" s="28"/>
      <c r="BZ99" s="28"/>
      <c r="CA99" s="28"/>
      <c r="CB99" s="28"/>
      <c r="CC99" s="28"/>
      <c r="CD99" s="28"/>
      <c r="CE99" s="28"/>
      <c r="CF99" s="28"/>
      <c r="CG99" s="28"/>
      <c r="CH99" s="28"/>
      <c r="CI99" s="28"/>
      <c r="CJ99" s="28"/>
      <c r="CK99" s="28"/>
      <c r="CL99" s="28"/>
      <c r="CM99" s="28"/>
      <c r="CN99" s="28"/>
      <c r="CO99" s="28"/>
      <c r="CP99" s="28"/>
      <c r="CQ99" s="28"/>
      <c r="CR99" s="28"/>
      <c r="CS99" s="28"/>
      <c r="CT99" s="28"/>
      <c r="CU99" s="28"/>
      <c r="CV99" s="28"/>
      <c r="CW99" s="28"/>
      <c r="CX99" s="28"/>
      <c r="CY99" s="28"/>
      <c r="CZ99" s="28"/>
      <c r="DA99" s="28"/>
      <c r="DB99" s="28"/>
      <c r="DC99" s="28"/>
      <c r="DD99" s="28"/>
      <c r="DE99" s="28"/>
      <c r="DF99" s="28"/>
      <c r="DG99" s="28"/>
      <c r="DH99" s="28"/>
      <c r="DI99" s="28"/>
      <c r="DJ99" s="28"/>
      <c r="DK99" s="29"/>
      <c r="DL99" s="29"/>
      <c r="DM99" s="29"/>
      <c r="DN99" s="29"/>
      <c r="DO99" s="29"/>
      <c r="DP99" s="29"/>
      <c r="DQ99" s="29"/>
      <c r="DR99" s="29"/>
      <c r="DS99" s="22"/>
      <c r="DT99" s="22"/>
      <c r="DU99" s="22"/>
      <c r="DV99" s="22"/>
    </row>
    <row r="100" spans="61:126" x14ac:dyDescent="0.25">
      <c r="BI100" s="22"/>
      <c r="BJ100" s="22"/>
      <c r="BK100" s="22"/>
      <c r="BL100" s="22"/>
      <c r="BM100" s="66"/>
      <c r="BN100" s="66"/>
      <c r="BO100" s="23"/>
      <c r="BP100" s="23"/>
      <c r="BQ100" s="23"/>
      <c r="BR100" s="24"/>
      <c r="BS100" s="24"/>
      <c r="BT100" s="68"/>
      <c r="BU100" s="68"/>
      <c r="BV100" s="25"/>
      <c r="BW100" s="26"/>
      <c r="BX100" s="27"/>
      <c r="BY100" s="28"/>
      <c r="BZ100" s="28"/>
      <c r="CA100" s="28"/>
      <c r="CB100" s="28"/>
      <c r="CC100" s="28"/>
      <c r="CD100" s="28"/>
      <c r="CE100" s="28"/>
      <c r="CF100" s="28"/>
      <c r="CG100" s="28"/>
      <c r="CH100" s="28"/>
      <c r="CI100" s="28"/>
      <c r="CJ100" s="28"/>
      <c r="CK100" s="28"/>
      <c r="CL100" s="28"/>
      <c r="CM100" s="28"/>
      <c r="CN100" s="28"/>
      <c r="CO100" s="28"/>
      <c r="CP100" s="28"/>
      <c r="CQ100" s="28"/>
      <c r="CR100" s="28"/>
      <c r="CS100" s="28"/>
      <c r="CT100" s="28"/>
      <c r="CU100" s="28"/>
      <c r="CV100" s="28"/>
      <c r="CW100" s="28"/>
      <c r="CX100" s="28"/>
      <c r="CY100" s="28"/>
      <c r="CZ100" s="28"/>
      <c r="DA100" s="28"/>
      <c r="DB100" s="28"/>
      <c r="DC100" s="28"/>
      <c r="DD100" s="28"/>
      <c r="DE100" s="28"/>
      <c r="DF100" s="28"/>
      <c r="DG100" s="28"/>
      <c r="DH100" s="28"/>
      <c r="DI100" s="28"/>
      <c r="DJ100" s="28"/>
      <c r="DK100" s="29"/>
      <c r="DL100" s="29"/>
      <c r="DM100" s="29"/>
      <c r="DN100" s="29"/>
      <c r="DO100" s="29"/>
      <c r="DP100" s="29"/>
      <c r="DQ100" s="29"/>
      <c r="DR100" s="29"/>
      <c r="DS100" s="22"/>
      <c r="DT100" s="22"/>
      <c r="DU100" s="22"/>
      <c r="DV100" s="22"/>
    </row>
    <row r="101" spans="61:126" x14ac:dyDescent="0.25">
      <c r="BI101" s="22"/>
      <c r="BJ101" s="22"/>
      <c r="BK101" s="22"/>
      <c r="BL101" s="22"/>
      <c r="BM101" s="66"/>
      <c r="BN101" s="66"/>
      <c r="BO101" s="23"/>
      <c r="BP101" s="23"/>
      <c r="BQ101" s="23"/>
      <c r="BR101" s="24"/>
      <c r="BS101" s="24"/>
      <c r="BT101" s="68"/>
      <c r="BU101" s="68"/>
      <c r="BV101" s="25"/>
      <c r="BW101" s="26"/>
      <c r="BX101" s="27"/>
      <c r="BY101" s="28"/>
      <c r="BZ101" s="28"/>
      <c r="CA101" s="28"/>
      <c r="CB101" s="28"/>
      <c r="CC101" s="28"/>
      <c r="CD101" s="28"/>
      <c r="CE101" s="28"/>
      <c r="CF101" s="28"/>
      <c r="CG101" s="28"/>
      <c r="CH101" s="28"/>
      <c r="CI101" s="28"/>
      <c r="CJ101" s="28"/>
      <c r="CK101" s="28"/>
      <c r="CL101" s="28"/>
      <c r="CM101" s="28"/>
      <c r="CN101" s="28"/>
      <c r="CO101" s="28"/>
      <c r="CP101" s="28"/>
      <c r="CQ101" s="28"/>
      <c r="CR101" s="28"/>
      <c r="CS101" s="28"/>
      <c r="CT101" s="28"/>
      <c r="CU101" s="28"/>
      <c r="CV101" s="28"/>
      <c r="CW101" s="28"/>
      <c r="CX101" s="28"/>
      <c r="CY101" s="28"/>
      <c r="CZ101" s="28"/>
      <c r="DA101" s="28"/>
      <c r="DB101" s="28"/>
      <c r="DC101" s="28"/>
      <c r="DD101" s="28"/>
      <c r="DE101" s="28"/>
      <c r="DF101" s="28"/>
      <c r="DG101" s="28"/>
      <c r="DH101" s="28"/>
      <c r="DI101" s="28"/>
      <c r="DJ101" s="28"/>
      <c r="DK101" s="29"/>
      <c r="DL101" s="29"/>
      <c r="DM101" s="29"/>
      <c r="DN101" s="29"/>
      <c r="DO101" s="29"/>
      <c r="DP101" s="29"/>
      <c r="DQ101" s="29"/>
      <c r="DR101" s="29"/>
      <c r="DS101" s="22"/>
      <c r="DT101" s="22"/>
      <c r="DU101" s="22"/>
      <c r="DV101" s="22"/>
    </row>
    <row r="102" spans="61:126" x14ac:dyDescent="0.25">
      <c r="BI102" s="22"/>
      <c r="BJ102" s="22"/>
      <c r="BK102" s="22"/>
      <c r="BL102" s="22"/>
      <c r="BM102" s="66"/>
      <c r="BN102" s="66"/>
      <c r="BO102" s="23"/>
      <c r="BP102" s="23"/>
      <c r="BQ102" s="23"/>
      <c r="BR102" s="24"/>
      <c r="BS102" s="24"/>
      <c r="BT102" s="68"/>
      <c r="BU102" s="68"/>
      <c r="BV102" s="25"/>
      <c r="BW102" s="26"/>
      <c r="BX102" s="27"/>
      <c r="BY102" s="28"/>
      <c r="BZ102" s="28"/>
      <c r="CA102" s="28"/>
      <c r="CB102" s="28"/>
      <c r="CC102" s="28"/>
      <c r="CD102" s="28"/>
      <c r="CE102" s="28"/>
      <c r="CF102" s="28"/>
      <c r="CG102" s="28"/>
      <c r="CH102" s="28"/>
      <c r="CI102" s="28"/>
      <c r="CJ102" s="28"/>
      <c r="CK102" s="28"/>
      <c r="CL102" s="28"/>
      <c r="CM102" s="28"/>
      <c r="CN102" s="28"/>
      <c r="CO102" s="28"/>
      <c r="CP102" s="28"/>
      <c r="CQ102" s="28"/>
      <c r="CR102" s="28"/>
      <c r="CS102" s="28"/>
      <c r="CT102" s="28"/>
      <c r="CU102" s="28"/>
      <c r="CV102" s="28"/>
      <c r="CW102" s="28"/>
      <c r="CX102" s="28"/>
      <c r="CY102" s="28"/>
      <c r="CZ102" s="28"/>
      <c r="DA102" s="28"/>
      <c r="DB102" s="28"/>
      <c r="DC102" s="28"/>
      <c r="DD102" s="28"/>
      <c r="DE102" s="28"/>
      <c r="DF102" s="28"/>
      <c r="DG102" s="28"/>
      <c r="DH102" s="28"/>
      <c r="DI102" s="28"/>
      <c r="DJ102" s="28"/>
      <c r="DK102" s="29"/>
      <c r="DL102" s="29"/>
      <c r="DM102" s="29"/>
      <c r="DN102" s="29"/>
      <c r="DO102" s="29"/>
      <c r="DP102" s="29"/>
      <c r="DQ102" s="29"/>
      <c r="DR102" s="29"/>
      <c r="DS102" s="22"/>
      <c r="DT102" s="22"/>
      <c r="DU102" s="22"/>
      <c r="DV102" s="22"/>
    </row>
    <row r="103" spans="61:126" x14ac:dyDescent="0.25">
      <c r="BI103" s="22"/>
      <c r="BJ103" s="22"/>
      <c r="BK103" s="22"/>
      <c r="BL103" s="22"/>
      <c r="BM103" s="66"/>
      <c r="BN103" s="66"/>
      <c r="BO103" s="23"/>
      <c r="BP103" s="23"/>
      <c r="BQ103" s="23"/>
      <c r="BR103" s="24"/>
      <c r="BS103" s="24"/>
      <c r="BT103" s="68"/>
      <c r="BU103" s="68"/>
      <c r="BV103" s="25"/>
      <c r="BW103" s="26"/>
      <c r="BX103" s="27"/>
      <c r="BY103" s="28"/>
      <c r="BZ103" s="28"/>
      <c r="CA103" s="28"/>
      <c r="CB103" s="28"/>
      <c r="CC103" s="28"/>
      <c r="CD103" s="28"/>
      <c r="CE103" s="28"/>
      <c r="CF103" s="28"/>
      <c r="CG103" s="28"/>
      <c r="CH103" s="28"/>
      <c r="CI103" s="28"/>
      <c r="CJ103" s="28"/>
      <c r="CK103" s="28"/>
      <c r="CL103" s="28"/>
      <c r="CM103" s="28"/>
      <c r="CN103" s="28"/>
      <c r="CO103" s="28"/>
      <c r="CP103" s="28"/>
      <c r="CQ103" s="28"/>
      <c r="CR103" s="28"/>
      <c r="CS103" s="28"/>
      <c r="CT103" s="28"/>
      <c r="CU103" s="28"/>
      <c r="CV103" s="28"/>
      <c r="CW103" s="28"/>
      <c r="CX103" s="28"/>
      <c r="CY103" s="28"/>
      <c r="CZ103" s="28"/>
      <c r="DA103" s="28"/>
      <c r="DB103" s="28"/>
      <c r="DC103" s="28"/>
      <c r="DD103" s="28"/>
      <c r="DE103" s="28"/>
      <c r="DF103" s="28"/>
      <c r="DG103" s="28"/>
      <c r="DH103" s="28"/>
      <c r="DI103" s="28"/>
      <c r="DJ103" s="28"/>
      <c r="DK103" s="29"/>
      <c r="DL103" s="29"/>
      <c r="DM103" s="29"/>
      <c r="DN103" s="29"/>
      <c r="DO103" s="29"/>
      <c r="DP103" s="29"/>
      <c r="DQ103" s="29"/>
      <c r="DR103" s="29"/>
      <c r="DS103" s="22"/>
      <c r="DT103" s="22"/>
      <c r="DU103" s="22"/>
      <c r="DV103" s="22"/>
    </row>
    <row r="104" spans="61:126" x14ac:dyDescent="0.25">
      <c r="BI104" s="22"/>
      <c r="BJ104" s="22"/>
      <c r="BK104" s="22"/>
      <c r="BL104" s="22"/>
      <c r="BM104" s="66"/>
      <c r="BN104" s="66"/>
      <c r="BO104" s="23"/>
      <c r="BP104" s="23"/>
      <c r="BQ104" s="23"/>
      <c r="BR104" s="24"/>
      <c r="BS104" s="24"/>
      <c r="BT104" s="68"/>
      <c r="BU104" s="68"/>
      <c r="BV104" s="25"/>
      <c r="BW104" s="26"/>
      <c r="BX104" s="27"/>
      <c r="BY104" s="28"/>
      <c r="BZ104" s="28"/>
      <c r="CA104" s="28"/>
      <c r="CB104" s="28"/>
      <c r="CC104" s="28"/>
      <c r="CD104" s="28"/>
      <c r="CE104" s="28"/>
      <c r="CF104" s="28"/>
      <c r="CG104" s="28"/>
      <c r="CH104" s="28"/>
      <c r="CI104" s="28"/>
      <c r="CJ104" s="28"/>
      <c r="CK104" s="28"/>
      <c r="CL104" s="28"/>
      <c r="CM104" s="28"/>
      <c r="CN104" s="28"/>
      <c r="CO104" s="28"/>
      <c r="CP104" s="28"/>
      <c r="CQ104" s="28"/>
      <c r="CR104" s="28"/>
      <c r="CS104" s="28"/>
      <c r="CT104" s="28"/>
      <c r="CU104" s="28"/>
      <c r="CV104" s="28"/>
      <c r="CW104" s="28"/>
      <c r="CX104" s="28"/>
      <c r="CY104" s="28"/>
      <c r="CZ104" s="28"/>
      <c r="DA104" s="28"/>
      <c r="DB104" s="28"/>
      <c r="DC104" s="28"/>
      <c r="DD104" s="28"/>
      <c r="DE104" s="28"/>
      <c r="DF104" s="28"/>
      <c r="DG104" s="28"/>
      <c r="DH104" s="28"/>
      <c r="DI104" s="28"/>
      <c r="DJ104" s="28"/>
      <c r="DK104" s="29"/>
      <c r="DL104" s="29"/>
      <c r="DM104" s="29"/>
      <c r="DN104" s="29"/>
      <c r="DO104" s="29"/>
      <c r="DP104" s="29"/>
      <c r="DQ104" s="29"/>
      <c r="DR104" s="29"/>
      <c r="DS104" s="22"/>
      <c r="DT104" s="22"/>
      <c r="DU104" s="22"/>
      <c r="DV104" s="22"/>
    </row>
    <row r="105" spans="61:126" x14ac:dyDescent="0.25">
      <c r="BI105" s="22"/>
      <c r="BJ105" s="22"/>
      <c r="BK105" s="22"/>
      <c r="BL105" s="22"/>
      <c r="BM105" s="66"/>
      <c r="BN105" s="66"/>
      <c r="BO105" s="23"/>
      <c r="BP105" s="23"/>
      <c r="BQ105" s="23"/>
      <c r="BR105" s="24"/>
      <c r="BS105" s="24"/>
      <c r="BT105" s="68"/>
      <c r="BU105" s="68"/>
      <c r="BV105" s="25"/>
      <c r="BW105" s="26"/>
      <c r="BX105" s="27"/>
      <c r="BY105" s="28"/>
      <c r="BZ105" s="28"/>
      <c r="CA105" s="28"/>
      <c r="CB105" s="28"/>
      <c r="CC105" s="28"/>
      <c r="CD105" s="28"/>
      <c r="CE105" s="28"/>
      <c r="CF105" s="28"/>
      <c r="CG105" s="28"/>
      <c r="CH105" s="28"/>
      <c r="CI105" s="28"/>
      <c r="CJ105" s="28"/>
      <c r="CK105" s="28"/>
      <c r="CL105" s="28"/>
      <c r="CM105" s="28"/>
      <c r="CN105" s="28"/>
      <c r="CO105" s="28"/>
      <c r="CP105" s="28"/>
      <c r="CQ105" s="28"/>
      <c r="CR105" s="28"/>
      <c r="CS105" s="28"/>
      <c r="CT105" s="28"/>
      <c r="CU105" s="28"/>
      <c r="CV105" s="28"/>
      <c r="CW105" s="28"/>
      <c r="CX105" s="28"/>
      <c r="CY105" s="28"/>
      <c r="CZ105" s="28"/>
      <c r="DA105" s="28"/>
      <c r="DB105" s="28"/>
      <c r="DC105" s="28"/>
      <c r="DD105" s="28"/>
      <c r="DE105" s="28"/>
      <c r="DF105" s="28"/>
      <c r="DG105" s="28"/>
      <c r="DH105" s="28"/>
      <c r="DI105" s="28"/>
      <c r="DJ105" s="28"/>
      <c r="DK105" s="29"/>
      <c r="DL105" s="29"/>
      <c r="DM105" s="29"/>
      <c r="DN105" s="29"/>
      <c r="DO105" s="29"/>
      <c r="DP105" s="29"/>
      <c r="DQ105" s="29"/>
      <c r="DR105" s="29"/>
      <c r="DS105" s="22"/>
      <c r="DT105" s="22"/>
      <c r="DU105" s="22"/>
      <c r="DV105" s="22"/>
    </row>
    <row r="106" spans="61:126" x14ac:dyDescent="0.25">
      <c r="BI106" s="22"/>
      <c r="BJ106" s="22"/>
      <c r="BK106" s="22"/>
      <c r="BL106" s="22"/>
      <c r="BM106" s="66"/>
      <c r="BN106" s="66"/>
      <c r="BO106" s="23"/>
      <c r="BP106" s="23"/>
      <c r="BQ106" s="23"/>
      <c r="BR106" s="24"/>
      <c r="BS106" s="24"/>
      <c r="BT106" s="68"/>
      <c r="BU106" s="68"/>
      <c r="BV106" s="25"/>
      <c r="BW106" s="26"/>
      <c r="BX106" s="27"/>
      <c r="BY106" s="28"/>
      <c r="BZ106" s="28"/>
      <c r="CA106" s="28"/>
      <c r="CB106" s="28"/>
      <c r="CC106" s="28"/>
      <c r="CD106" s="28"/>
      <c r="CE106" s="28"/>
      <c r="CF106" s="28"/>
      <c r="CG106" s="28"/>
      <c r="CH106" s="28"/>
      <c r="CI106" s="28"/>
      <c r="CJ106" s="28"/>
      <c r="CK106" s="28"/>
      <c r="CL106" s="28"/>
      <c r="CM106" s="28"/>
      <c r="CN106" s="28"/>
      <c r="CO106" s="28"/>
      <c r="CP106" s="28"/>
      <c r="CQ106" s="28"/>
      <c r="CR106" s="28"/>
      <c r="CS106" s="28"/>
      <c r="CT106" s="28"/>
      <c r="CU106" s="28"/>
      <c r="CV106" s="28"/>
      <c r="CW106" s="28"/>
      <c r="CX106" s="28"/>
      <c r="CY106" s="28"/>
      <c r="CZ106" s="28"/>
      <c r="DA106" s="28"/>
      <c r="DB106" s="28"/>
      <c r="DC106" s="28"/>
      <c r="DD106" s="28"/>
      <c r="DE106" s="28"/>
      <c r="DF106" s="28"/>
      <c r="DG106" s="28"/>
      <c r="DH106" s="28"/>
      <c r="DI106" s="28"/>
      <c r="DJ106" s="28"/>
      <c r="DK106" s="29"/>
      <c r="DL106" s="29"/>
      <c r="DM106" s="29"/>
      <c r="DN106" s="29"/>
      <c r="DO106" s="29"/>
      <c r="DP106" s="29"/>
      <c r="DQ106" s="29"/>
      <c r="DR106" s="29"/>
      <c r="DS106" s="22"/>
      <c r="DT106" s="22"/>
      <c r="DU106" s="22"/>
      <c r="DV106" s="22"/>
    </row>
    <row r="107" spans="61:126" x14ac:dyDescent="0.25">
      <c r="BI107" s="22"/>
      <c r="BJ107" s="22"/>
      <c r="BK107" s="22"/>
      <c r="BL107" s="22"/>
      <c r="BM107" s="66"/>
      <c r="BN107" s="66"/>
      <c r="BO107" s="23"/>
      <c r="BP107" s="23"/>
      <c r="BQ107" s="23"/>
      <c r="BR107" s="24"/>
      <c r="BS107" s="24"/>
      <c r="BT107" s="68"/>
      <c r="BU107" s="68"/>
      <c r="BV107" s="25"/>
      <c r="BW107" s="26"/>
      <c r="BX107" s="27"/>
      <c r="BY107" s="28"/>
      <c r="BZ107" s="28"/>
      <c r="CA107" s="28"/>
      <c r="CB107" s="28"/>
      <c r="CC107" s="28"/>
      <c r="CD107" s="28"/>
      <c r="CE107" s="28"/>
      <c r="CF107" s="28"/>
      <c r="CG107" s="28"/>
      <c r="CH107" s="28"/>
      <c r="CI107" s="28"/>
      <c r="CJ107" s="28"/>
      <c r="CK107" s="28"/>
      <c r="CL107" s="28"/>
      <c r="CM107" s="28"/>
      <c r="CN107" s="28"/>
      <c r="CO107" s="28"/>
      <c r="CP107" s="28"/>
      <c r="CQ107" s="28"/>
      <c r="CR107" s="28"/>
      <c r="CS107" s="28"/>
      <c r="CT107" s="28"/>
      <c r="CU107" s="28"/>
      <c r="CV107" s="28"/>
      <c r="CW107" s="28"/>
      <c r="CX107" s="28"/>
      <c r="CY107" s="28"/>
      <c r="CZ107" s="28"/>
      <c r="DA107" s="28"/>
      <c r="DB107" s="28"/>
      <c r="DC107" s="28"/>
      <c r="DD107" s="28"/>
      <c r="DE107" s="28"/>
      <c r="DF107" s="28"/>
      <c r="DG107" s="28"/>
      <c r="DH107" s="28"/>
      <c r="DI107" s="28"/>
      <c r="DJ107" s="28"/>
      <c r="DK107" s="29"/>
      <c r="DL107" s="29"/>
      <c r="DM107" s="29"/>
      <c r="DN107" s="29"/>
      <c r="DO107" s="29"/>
      <c r="DP107" s="29"/>
      <c r="DQ107" s="29"/>
      <c r="DR107" s="29"/>
      <c r="DS107" s="22"/>
      <c r="DT107" s="22"/>
      <c r="DU107" s="22"/>
      <c r="DV107" s="22"/>
    </row>
    <row r="108" spans="61:126" x14ac:dyDescent="0.25">
      <c r="BI108" s="22"/>
      <c r="BJ108" s="22"/>
      <c r="BK108" s="22"/>
      <c r="BL108" s="22"/>
      <c r="BM108" s="66"/>
      <c r="BN108" s="66"/>
      <c r="BO108" s="23"/>
      <c r="BP108" s="23"/>
      <c r="BQ108" s="23"/>
      <c r="BR108" s="24"/>
      <c r="BS108" s="24"/>
      <c r="BT108" s="68"/>
      <c r="BU108" s="68"/>
      <c r="BV108" s="25"/>
      <c r="BW108" s="26"/>
      <c r="BX108" s="27"/>
      <c r="BY108" s="28"/>
      <c r="BZ108" s="28"/>
      <c r="CA108" s="28"/>
      <c r="CB108" s="28"/>
      <c r="CC108" s="28"/>
      <c r="CD108" s="28"/>
      <c r="CE108" s="28"/>
      <c r="CF108" s="28"/>
      <c r="CG108" s="28"/>
      <c r="CH108" s="28"/>
      <c r="CI108" s="28"/>
      <c r="CJ108" s="28"/>
      <c r="CK108" s="28"/>
      <c r="CL108" s="28"/>
      <c r="CM108" s="28"/>
      <c r="CN108" s="28"/>
      <c r="CO108" s="28"/>
      <c r="CP108" s="28"/>
      <c r="CQ108" s="28"/>
      <c r="CR108" s="28"/>
      <c r="CS108" s="28"/>
      <c r="CT108" s="28"/>
      <c r="CU108" s="28"/>
      <c r="CV108" s="28"/>
      <c r="CW108" s="28"/>
      <c r="CX108" s="28"/>
      <c r="CY108" s="28"/>
      <c r="CZ108" s="28"/>
      <c r="DA108" s="28"/>
      <c r="DB108" s="28"/>
      <c r="DC108" s="28"/>
      <c r="DD108" s="28"/>
      <c r="DE108" s="28"/>
      <c r="DF108" s="28"/>
      <c r="DG108" s="28"/>
      <c r="DH108" s="28"/>
      <c r="DI108" s="28"/>
      <c r="DJ108" s="28"/>
      <c r="DK108" s="29"/>
      <c r="DL108" s="29"/>
      <c r="DM108" s="29"/>
      <c r="DN108" s="29"/>
      <c r="DO108" s="29"/>
      <c r="DP108" s="29"/>
      <c r="DQ108" s="29"/>
      <c r="DR108" s="29"/>
      <c r="DS108" s="22"/>
      <c r="DT108" s="22"/>
      <c r="DU108" s="22"/>
      <c r="DV108" s="22"/>
    </row>
    <row r="109" spans="61:126" x14ac:dyDescent="0.25">
      <c r="BI109" s="22"/>
      <c r="BJ109" s="22"/>
      <c r="BK109" s="22"/>
      <c r="BL109" s="22"/>
      <c r="BM109" s="66"/>
      <c r="BN109" s="66"/>
      <c r="BO109" s="23"/>
      <c r="BP109" s="23"/>
      <c r="BQ109" s="23"/>
      <c r="BR109" s="24"/>
      <c r="BS109" s="24"/>
      <c r="BT109" s="68"/>
      <c r="BU109" s="68"/>
      <c r="BV109" s="25"/>
      <c r="BW109" s="26"/>
      <c r="BX109" s="27"/>
      <c r="BY109" s="28"/>
      <c r="BZ109" s="28"/>
      <c r="CA109" s="28"/>
      <c r="CB109" s="28"/>
      <c r="CC109" s="28"/>
      <c r="CD109" s="28"/>
      <c r="CE109" s="28"/>
      <c r="CF109" s="28"/>
      <c r="CG109" s="28"/>
      <c r="CH109" s="28"/>
      <c r="CI109" s="28"/>
      <c r="CJ109" s="28"/>
      <c r="CK109" s="28"/>
      <c r="CL109" s="28"/>
      <c r="CM109" s="28"/>
      <c r="CN109" s="28"/>
      <c r="CO109" s="28"/>
      <c r="CP109" s="28"/>
      <c r="CQ109" s="28"/>
      <c r="CR109" s="28"/>
      <c r="CS109" s="28"/>
      <c r="CT109" s="28"/>
      <c r="CU109" s="28"/>
      <c r="CV109" s="28"/>
      <c r="CW109" s="28"/>
      <c r="CX109" s="28"/>
      <c r="CY109" s="28"/>
      <c r="CZ109" s="28"/>
      <c r="DA109" s="28"/>
      <c r="DB109" s="28"/>
      <c r="DC109" s="28"/>
      <c r="DD109" s="28"/>
      <c r="DE109" s="28"/>
      <c r="DF109" s="28"/>
      <c r="DG109" s="28"/>
      <c r="DH109" s="28"/>
      <c r="DI109" s="28"/>
      <c r="DJ109" s="28"/>
      <c r="DK109" s="29"/>
      <c r="DL109" s="29"/>
      <c r="DM109" s="29"/>
      <c r="DN109" s="29"/>
      <c r="DO109" s="29"/>
      <c r="DP109" s="29"/>
      <c r="DQ109" s="29"/>
      <c r="DR109" s="29"/>
      <c r="DS109" s="22"/>
      <c r="DT109" s="22"/>
      <c r="DU109" s="22"/>
      <c r="DV109" s="22"/>
    </row>
    <row r="110" spans="61:126" x14ac:dyDescent="0.25">
      <c r="BI110" s="22"/>
      <c r="BJ110" s="22"/>
      <c r="BK110" s="22"/>
      <c r="BL110" s="22"/>
      <c r="BM110" s="66"/>
      <c r="BN110" s="66"/>
      <c r="BO110" s="23"/>
      <c r="BP110" s="23"/>
      <c r="BQ110" s="23"/>
      <c r="BR110" s="24"/>
      <c r="BS110" s="24"/>
      <c r="BT110" s="68"/>
      <c r="BU110" s="68"/>
      <c r="BV110" s="25"/>
      <c r="BW110" s="26"/>
      <c r="BX110" s="27"/>
      <c r="BY110" s="28"/>
      <c r="BZ110" s="28"/>
      <c r="CA110" s="28"/>
      <c r="CB110" s="28"/>
      <c r="CC110" s="28"/>
      <c r="CD110" s="28"/>
      <c r="CE110" s="28"/>
      <c r="CF110" s="28"/>
      <c r="CG110" s="28"/>
      <c r="CH110" s="28"/>
      <c r="CI110" s="28"/>
      <c r="CJ110" s="28"/>
      <c r="CK110" s="28"/>
      <c r="CL110" s="28"/>
      <c r="CM110" s="28"/>
      <c r="CN110" s="28"/>
      <c r="CO110" s="28"/>
      <c r="CP110" s="28"/>
      <c r="CQ110" s="28"/>
      <c r="CR110" s="28"/>
      <c r="CS110" s="28"/>
      <c r="CT110" s="28"/>
      <c r="CU110" s="28"/>
      <c r="CV110" s="28"/>
      <c r="CW110" s="28"/>
      <c r="CX110" s="28"/>
      <c r="CY110" s="28"/>
      <c r="CZ110" s="28"/>
      <c r="DA110" s="28"/>
      <c r="DB110" s="28"/>
      <c r="DC110" s="28"/>
      <c r="DD110" s="28"/>
      <c r="DE110" s="28"/>
      <c r="DF110" s="28"/>
      <c r="DG110" s="28"/>
      <c r="DH110" s="28"/>
      <c r="DI110" s="28"/>
      <c r="DJ110" s="28"/>
      <c r="DK110" s="29"/>
      <c r="DL110" s="29"/>
      <c r="DM110" s="29"/>
      <c r="DN110" s="29"/>
      <c r="DO110" s="29"/>
      <c r="DP110" s="29"/>
      <c r="DQ110" s="29"/>
      <c r="DR110" s="29"/>
      <c r="DS110" s="22"/>
      <c r="DT110" s="22"/>
      <c r="DU110" s="22"/>
      <c r="DV110" s="22"/>
    </row>
    <row r="111" spans="61:126" x14ac:dyDescent="0.25">
      <c r="BI111" s="22"/>
      <c r="BJ111" s="22"/>
      <c r="BK111" s="22"/>
      <c r="BL111" s="22"/>
      <c r="BM111" s="66"/>
      <c r="BN111" s="66"/>
      <c r="BO111" s="23"/>
      <c r="BP111" s="23"/>
      <c r="BQ111" s="23"/>
      <c r="BR111" s="24"/>
      <c r="BS111" s="24"/>
      <c r="BT111" s="68"/>
      <c r="BU111" s="68"/>
      <c r="BV111" s="25"/>
      <c r="BW111" s="26"/>
      <c r="BX111" s="27"/>
      <c r="BY111" s="28"/>
      <c r="BZ111" s="28"/>
      <c r="CA111" s="28"/>
      <c r="CB111" s="28"/>
      <c r="CC111" s="28"/>
      <c r="CD111" s="28"/>
      <c r="CE111" s="28"/>
      <c r="CF111" s="28"/>
      <c r="CG111" s="28"/>
      <c r="CH111" s="28"/>
      <c r="CI111" s="28"/>
      <c r="CJ111" s="28"/>
      <c r="CK111" s="28"/>
      <c r="CL111" s="28"/>
      <c r="CM111" s="28"/>
      <c r="CN111" s="28"/>
      <c r="CO111" s="28"/>
      <c r="CP111" s="28"/>
      <c r="CQ111" s="28"/>
      <c r="CR111" s="28"/>
      <c r="CS111" s="28"/>
      <c r="CT111" s="28"/>
      <c r="CU111" s="28"/>
      <c r="CV111" s="28"/>
      <c r="CW111" s="28"/>
      <c r="CX111" s="28"/>
      <c r="CY111" s="28"/>
      <c r="CZ111" s="28"/>
      <c r="DA111" s="28"/>
      <c r="DB111" s="28"/>
      <c r="DC111" s="28"/>
      <c r="DD111" s="28"/>
      <c r="DE111" s="28"/>
      <c r="DF111" s="28"/>
      <c r="DG111" s="28"/>
      <c r="DH111" s="28"/>
      <c r="DI111" s="28"/>
      <c r="DJ111" s="28"/>
      <c r="DK111" s="29"/>
      <c r="DL111" s="29"/>
      <c r="DM111" s="29"/>
      <c r="DN111" s="29"/>
      <c r="DO111" s="29"/>
      <c r="DP111" s="29"/>
      <c r="DQ111" s="29"/>
      <c r="DR111" s="29"/>
      <c r="DS111" s="22"/>
      <c r="DT111" s="22"/>
      <c r="DU111" s="22"/>
      <c r="DV111" s="22"/>
    </row>
    <row r="112" spans="61:126" x14ac:dyDescent="0.25">
      <c r="BI112" s="22"/>
      <c r="BJ112" s="22"/>
      <c r="BK112" s="22"/>
      <c r="BL112" s="22"/>
      <c r="BM112" s="66"/>
      <c r="BN112" s="66"/>
      <c r="BO112" s="23"/>
      <c r="BP112" s="23"/>
      <c r="BQ112" s="23"/>
      <c r="BR112" s="24"/>
      <c r="BS112" s="24"/>
      <c r="BT112" s="68"/>
      <c r="BU112" s="68"/>
      <c r="BV112" s="25"/>
      <c r="BW112" s="26"/>
      <c r="BX112" s="27"/>
      <c r="BY112" s="28"/>
      <c r="BZ112" s="28"/>
      <c r="CA112" s="28"/>
      <c r="CB112" s="28"/>
      <c r="CC112" s="28"/>
      <c r="CD112" s="28"/>
      <c r="CE112" s="28"/>
      <c r="CF112" s="28"/>
      <c r="CG112" s="28"/>
      <c r="CH112" s="28"/>
      <c r="CI112" s="28"/>
      <c r="CJ112" s="28"/>
      <c r="CK112" s="28"/>
      <c r="CL112" s="28"/>
      <c r="CM112" s="28"/>
      <c r="CN112" s="28"/>
      <c r="CO112" s="28"/>
      <c r="CP112" s="28"/>
      <c r="CQ112" s="28"/>
      <c r="CR112" s="28"/>
      <c r="CS112" s="28"/>
      <c r="CT112" s="28"/>
      <c r="CU112" s="28"/>
      <c r="CV112" s="28"/>
      <c r="CW112" s="28"/>
      <c r="CX112" s="28"/>
      <c r="CY112" s="28"/>
      <c r="CZ112" s="28"/>
      <c r="DA112" s="28"/>
      <c r="DB112" s="28"/>
      <c r="DC112" s="28"/>
      <c r="DD112" s="28"/>
      <c r="DE112" s="28"/>
      <c r="DF112" s="28"/>
      <c r="DG112" s="28"/>
      <c r="DH112" s="28"/>
      <c r="DI112" s="28"/>
      <c r="DJ112" s="28"/>
      <c r="DK112" s="29"/>
      <c r="DL112" s="29"/>
      <c r="DM112" s="29"/>
      <c r="DN112" s="29"/>
      <c r="DO112" s="29"/>
      <c r="DP112" s="29"/>
      <c r="DQ112" s="29"/>
      <c r="DR112" s="29"/>
      <c r="DS112" s="22"/>
      <c r="DT112" s="22"/>
      <c r="DU112" s="22"/>
      <c r="DV112" s="22"/>
    </row>
    <row r="113" spans="61:126" x14ac:dyDescent="0.25">
      <c r="BI113" s="22"/>
      <c r="BJ113" s="22"/>
      <c r="BK113" s="22"/>
      <c r="BL113" s="22"/>
      <c r="BM113" s="66"/>
      <c r="BN113" s="66"/>
      <c r="BO113" s="23"/>
      <c r="BP113" s="23"/>
      <c r="BQ113" s="23"/>
      <c r="BR113" s="24"/>
      <c r="BS113" s="24"/>
      <c r="BT113" s="68"/>
      <c r="BU113" s="68"/>
      <c r="BV113" s="25"/>
      <c r="BW113" s="26"/>
      <c r="BX113" s="27"/>
      <c r="BY113" s="28"/>
      <c r="BZ113" s="28"/>
      <c r="CA113" s="28"/>
      <c r="CB113" s="28"/>
      <c r="CC113" s="28"/>
      <c r="CD113" s="28"/>
      <c r="CE113" s="28"/>
      <c r="CF113" s="28"/>
      <c r="CG113" s="28"/>
      <c r="CH113" s="28"/>
      <c r="CI113" s="28"/>
      <c r="CJ113" s="28"/>
      <c r="CK113" s="28"/>
      <c r="CL113" s="28"/>
      <c r="CM113" s="28"/>
      <c r="CN113" s="28"/>
      <c r="CO113" s="28"/>
      <c r="CP113" s="28"/>
      <c r="CQ113" s="28"/>
      <c r="CR113" s="28"/>
      <c r="CS113" s="28"/>
      <c r="CT113" s="28"/>
      <c r="CU113" s="28"/>
      <c r="CV113" s="28"/>
      <c r="CW113" s="28"/>
      <c r="CX113" s="28"/>
      <c r="CY113" s="28"/>
      <c r="CZ113" s="28"/>
      <c r="DA113" s="28"/>
      <c r="DB113" s="28"/>
      <c r="DC113" s="28"/>
      <c r="DD113" s="28"/>
      <c r="DE113" s="28"/>
      <c r="DF113" s="28"/>
      <c r="DG113" s="28"/>
      <c r="DH113" s="28"/>
      <c r="DI113" s="28"/>
      <c r="DJ113" s="28"/>
      <c r="DK113" s="29"/>
      <c r="DL113" s="29"/>
      <c r="DM113" s="29"/>
      <c r="DN113" s="29"/>
      <c r="DO113" s="29"/>
      <c r="DP113" s="29"/>
      <c r="DQ113" s="29"/>
      <c r="DR113" s="29"/>
      <c r="DS113" s="22"/>
      <c r="DT113" s="22"/>
      <c r="DU113" s="22"/>
      <c r="DV113" s="22"/>
    </row>
    <row r="114" spans="61:126" x14ac:dyDescent="0.25">
      <c r="BI114" s="22"/>
      <c r="BJ114" s="22"/>
      <c r="BK114" s="22"/>
      <c r="BL114" s="22"/>
      <c r="BM114" s="66"/>
      <c r="BN114" s="66"/>
      <c r="BO114" s="23"/>
      <c r="BP114" s="23"/>
      <c r="BQ114" s="23"/>
      <c r="BR114" s="24"/>
      <c r="BS114" s="24"/>
      <c r="BT114" s="68"/>
      <c r="BU114" s="68"/>
      <c r="BV114" s="25"/>
      <c r="BW114" s="26"/>
      <c r="BX114" s="27"/>
      <c r="BY114" s="28"/>
      <c r="BZ114" s="28"/>
      <c r="CA114" s="28"/>
      <c r="CB114" s="28"/>
      <c r="CC114" s="28"/>
      <c r="CD114" s="28"/>
      <c r="CE114" s="28"/>
      <c r="CF114" s="28"/>
      <c r="CG114" s="28"/>
      <c r="CH114" s="28"/>
      <c r="CI114" s="28"/>
      <c r="CJ114" s="28"/>
      <c r="CK114" s="28"/>
      <c r="CL114" s="28"/>
      <c r="CM114" s="28"/>
      <c r="CN114" s="28"/>
      <c r="CO114" s="28"/>
      <c r="CP114" s="28"/>
      <c r="CQ114" s="28"/>
      <c r="CR114" s="28"/>
      <c r="CS114" s="28"/>
      <c r="CT114" s="28"/>
      <c r="CU114" s="28"/>
      <c r="CV114" s="28"/>
      <c r="CW114" s="28"/>
      <c r="CX114" s="28"/>
      <c r="CY114" s="28"/>
      <c r="CZ114" s="28"/>
      <c r="DA114" s="28"/>
      <c r="DB114" s="28"/>
      <c r="DC114" s="28"/>
      <c r="DD114" s="28"/>
      <c r="DE114" s="28"/>
      <c r="DF114" s="28"/>
      <c r="DG114" s="28"/>
      <c r="DH114" s="28"/>
      <c r="DI114" s="28"/>
      <c r="DJ114" s="28"/>
      <c r="DK114" s="29"/>
      <c r="DL114" s="29"/>
      <c r="DM114" s="29"/>
      <c r="DN114" s="29"/>
      <c r="DO114" s="29"/>
      <c r="DP114" s="29"/>
      <c r="DQ114" s="29"/>
      <c r="DR114" s="29"/>
      <c r="DS114" s="22"/>
      <c r="DT114" s="22"/>
      <c r="DU114" s="22"/>
      <c r="DV114" s="22"/>
    </row>
    <row r="115" spans="61:126" x14ac:dyDescent="0.25">
      <c r="BI115" s="22"/>
      <c r="BJ115" s="22"/>
      <c r="BK115" s="22"/>
      <c r="BL115" s="22"/>
      <c r="BM115" s="66"/>
      <c r="BN115" s="66"/>
      <c r="BO115" s="23"/>
      <c r="BP115" s="23"/>
      <c r="BQ115" s="23"/>
      <c r="BR115" s="24"/>
      <c r="BS115" s="24"/>
      <c r="BT115" s="68"/>
      <c r="BU115" s="68"/>
      <c r="BV115" s="25"/>
      <c r="BW115" s="26"/>
      <c r="BX115" s="27"/>
      <c r="BY115" s="28"/>
      <c r="BZ115" s="28"/>
      <c r="CA115" s="28"/>
      <c r="CB115" s="28"/>
      <c r="CC115" s="28"/>
      <c r="CD115" s="28"/>
      <c r="CE115" s="28"/>
      <c r="CF115" s="28"/>
      <c r="CG115" s="28"/>
      <c r="CH115" s="28"/>
      <c r="CI115" s="28"/>
      <c r="CJ115" s="28"/>
      <c r="CK115" s="28"/>
      <c r="CL115" s="28"/>
      <c r="CM115" s="28"/>
      <c r="CN115" s="28"/>
      <c r="CO115" s="28"/>
      <c r="CP115" s="28"/>
      <c r="CQ115" s="28"/>
      <c r="CR115" s="28"/>
      <c r="CS115" s="28"/>
      <c r="CT115" s="28"/>
      <c r="CU115" s="28"/>
      <c r="CV115" s="28"/>
      <c r="CW115" s="28"/>
      <c r="CX115" s="28"/>
      <c r="CY115" s="28"/>
      <c r="CZ115" s="28"/>
      <c r="DA115" s="28"/>
      <c r="DB115" s="28"/>
      <c r="DC115" s="28"/>
      <c r="DD115" s="28"/>
      <c r="DE115" s="28"/>
      <c r="DF115" s="28"/>
      <c r="DG115" s="28"/>
      <c r="DH115" s="28"/>
      <c r="DI115" s="28"/>
      <c r="DJ115" s="28"/>
      <c r="DK115" s="29"/>
      <c r="DL115" s="29"/>
      <c r="DM115" s="29"/>
      <c r="DN115" s="29"/>
      <c r="DO115" s="29"/>
      <c r="DP115" s="29"/>
      <c r="DQ115" s="29"/>
      <c r="DR115" s="29"/>
      <c r="DS115" s="22"/>
      <c r="DT115" s="22"/>
      <c r="DU115" s="22"/>
      <c r="DV115" s="22"/>
    </row>
    <row r="116" spans="61:126" x14ac:dyDescent="0.25">
      <c r="BI116" s="22"/>
      <c r="BJ116" s="22"/>
      <c r="BK116" s="22"/>
      <c r="BL116" s="22"/>
      <c r="BM116" s="66"/>
      <c r="BN116" s="66"/>
      <c r="BO116" s="23"/>
      <c r="BP116" s="23"/>
      <c r="BQ116" s="23"/>
      <c r="BR116" s="24"/>
      <c r="BS116" s="24"/>
      <c r="BT116" s="68"/>
      <c r="BU116" s="68"/>
      <c r="BV116" s="25"/>
      <c r="BW116" s="26"/>
      <c r="BX116" s="27"/>
      <c r="BY116" s="28"/>
      <c r="BZ116" s="28"/>
      <c r="CA116" s="28"/>
      <c r="CB116" s="28"/>
      <c r="CC116" s="28"/>
      <c r="CD116" s="28"/>
      <c r="CE116" s="28"/>
      <c r="CF116" s="28"/>
      <c r="CG116" s="28"/>
      <c r="CH116" s="28"/>
      <c r="CI116" s="28"/>
      <c r="CJ116" s="28"/>
      <c r="CK116" s="28"/>
      <c r="CL116" s="28"/>
      <c r="CM116" s="28"/>
      <c r="CN116" s="28"/>
      <c r="CO116" s="28"/>
      <c r="CP116" s="28"/>
      <c r="CQ116" s="28"/>
      <c r="CR116" s="28"/>
      <c r="CS116" s="28"/>
      <c r="CT116" s="28"/>
      <c r="CU116" s="28"/>
      <c r="CV116" s="28"/>
      <c r="CW116" s="28"/>
      <c r="CX116" s="28"/>
      <c r="CY116" s="28"/>
      <c r="CZ116" s="28"/>
      <c r="DA116" s="28"/>
      <c r="DB116" s="28"/>
      <c r="DC116" s="28"/>
      <c r="DD116" s="28"/>
      <c r="DE116" s="28"/>
      <c r="DF116" s="28"/>
      <c r="DG116" s="28"/>
      <c r="DH116" s="28"/>
      <c r="DI116" s="28"/>
      <c r="DJ116" s="28"/>
      <c r="DK116" s="29"/>
      <c r="DL116" s="29"/>
      <c r="DM116" s="29"/>
      <c r="DN116" s="29"/>
      <c r="DO116" s="29"/>
      <c r="DP116" s="29"/>
      <c r="DQ116" s="29"/>
      <c r="DR116" s="29"/>
      <c r="DS116" s="22"/>
      <c r="DT116" s="22"/>
      <c r="DU116" s="22"/>
      <c r="DV116" s="22"/>
    </row>
    <row r="117" spans="61:126" x14ac:dyDescent="0.25">
      <c r="BI117" s="22"/>
      <c r="BJ117" s="22"/>
      <c r="BK117" s="22"/>
      <c r="BL117" s="22"/>
      <c r="BM117" s="66"/>
      <c r="BN117" s="66"/>
      <c r="BO117" s="23"/>
      <c r="BP117" s="23"/>
      <c r="BQ117" s="23"/>
      <c r="BR117" s="24"/>
      <c r="BS117" s="24"/>
      <c r="BT117" s="68"/>
      <c r="BU117" s="68"/>
      <c r="BV117" s="25"/>
      <c r="BW117" s="26"/>
      <c r="BX117" s="27"/>
      <c r="BY117" s="28"/>
      <c r="BZ117" s="28"/>
      <c r="CA117" s="28"/>
      <c r="CB117" s="28"/>
      <c r="CC117" s="28"/>
      <c r="CD117" s="28"/>
      <c r="CE117" s="28"/>
      <c r="CF117" s="28"/>
      <c r="CG117" s="28"/>
      <c r="CH117" s="28"/>
      <c r="CI117" s="28"/>
      <c r="CJ117" s="28"/>
      <c r="CK117" s="28"/>
      <c r="CL117" s="28"/>
      <c r="CM117" s="28"/>
      <c r="CN117" s="28"/>
      <c r="CO117" s="28"/>
      <c r="CP117" s="28"/>
      <c r="CQ117" s="28"/>
      <c r="CR117" s="28"/>
      <c r="CS117" s="28"/>
      <c r="CT117" s="28"/>
      <c r="CU117" s="28"/>
      <c r="CV117" s="28"/>
      <c r="CW117" s="28"/>
      <c r="CX117" s="28"/>
      <c r="CY117" s="28"/>
      <c r="CZ117" s="28"/>
      <c r="DA117" s="28"/>
      <c r="DB117" s="28"/>
      <c r="DC117" s="28"/>
      <c r="DD117" s="28"/>
      <c r="DE117" s="28"/>
      <c r="DF117" s="28"/>
      <c r="DG117" s="28"/>
      <c r="DH117" s="28"/>
      <c r="DI117" s="28"/>
      <c r="DJ117" s="28"/>
      <c r="DK117" s="29"/>
      <c r="DL117" s="29"/>
      <c r="DM117" s="29"/>
      <c r="DN117" s="29"/>
      <c r="DO117" s="29"/>
      <c r="DP117" s="29"/>
      <c r="DQ117" s="29"/>
      <c r="DR117" s="29"/>
      <c r="DS117" s="22"/>
      <c r="DT117" s="22"/>
      <c r="DU117" s="22"/>
      <c r="DV117" s="22"/>
    </row>
    <row r="118" spans="61:126" x14ac:dyDescent="0.25">
      <c r="BI118" s="22"/>
      <c r="BJ118" s="22"/>
      <c r="BK118" s="22"/>
      <c r="BL118" s="22"/>
      <c r="BM118" s="66"/>
      <c r="BN118" s="66"/>
      <c r="BO118" s="23"/>
      <c r="BP118" s="23"/>
      <c r="BQ118" s="23"/>
      <c r="BR118" s="24"/>
      <c r="BS118" s="24"/>
      <c r="BT118" s="68"/>
      <c r="BU118" s="68"/>
      <c r="BV118" s="25"/>
      <c r="BW118" s="26"/>
      <c r="BX118" s="27"/>
      <c r="BY118" s="28"/>
      <c r="BZ118" s="28"/>
      <c r="CA118" s="28"/>
      <c r="CB118" s="28"/>
      <c r="CC118" s="28"/>
      <c r="CD118" s="28"/>
      <c r="CE118" s="28"/>
      <c r="CF118" s="28"/>
      <c r="CG118" s="28"/>
      <c r="CH118" s="28"/>
      <c r="CI118" s="28"/>
      <c r="CJ118" s="28"/>
      <c r="CK118" s="28"/>
      <c r="CL118" s="28"/>
      <c r="CM118" s="28"/>
      <c r="CN118" s="28"/>
      <c r="CO118" s="28"/>
      <c r="CP118" s="28"/>
      <c r="CQ118" s="28"/>
      <c r="CR118" s="28"/>
      <c r="CS118" s="28"/>
      <c r="CT118" s="28"/>
      <c r="CU118" s="28"/>
      <c r="CV118" s="28"/>
      <c r="CW118" s="28"/>
      <c r="CX118" s="28"/>
      <c r="CY118" s="28"/>
      <c r="CZ118" s="28"/>
      <c r="DA118" s="28"/>
      <c r="DB118" s="28"/>
      <c r="DC118" s="28"/>
      <c r="DD118" s="28"/>
      <c r="DE118" s="28"/>
      <c r="DF118" s="28"/>
      <c r="DG118" s="28"/>
      <c r="DH118" s="28"/>
      <c r="DI118" s="28"/>
      <c r="DJ118" s="28"/>
      <c r="DK118" s="29"/>
      <c r="DL118" s="29"/>
      <c r="DM118" s="29"/>
      <c r="DN118" s="29"/>
      <c r="DO118" s="29"/>
      <c r="DP118" s="29"/>
      <c r="DQ118" s="29"/>
      <c r="DR118" s="29"/>
      <c r="DS118" s="22"/>
      <c r="DT118" s="22"/>
      <c r="DU118" s="22"/>
      <c r="DV118" s="22"/>
    </row>
    <row r="119" spans="61:126" x14ac:dyDescent="0.25">
      <c r="BI119" s="22"/>
      <c r="BJ119" s="22"/>
      <c r="BK119" s="22"/>
      <c r="BL119" s="22"/>
      <c r="BM119" s="66"/>
      <c r="BN119" s="66"/>
      <c r="BO119" s="23"/>
      <c r="BP119" s="23"/>
      <c r="BQ119" s="23"/>
      <c r="BR119" s="24"/>
      <c r="BS119" s="24"/>
      <c r="BT119" s="68"/>
      <c r="BU119" s="68"/>
      <c r="BV119" s="25"/>
      <c r="BW119" s="26"/>
      <c r="BX119" s="27"/>
      <c r="BY119" s="28"/>
      <c r="BZ119" s="28"/>
      <c r="CA119" s="28"/>
      <c r="CB119" s="28"/>
      <c r="CC119" s="28"/>
      <c r="CD119" s="28"/>
      <c r="CE119" s="28"/>
      <c r="CF119" s="28"/>
      <c r="CG119" s="28"/>
      <c r="CH119" s="28"/>
      <c r="CI119" s="28"/>
      <c r="CJ119" s="28"/>
      <c r="CK119" s="28"/>
      <c r="CL119" s="28"/>
      <c r="CM119" s="28"/>
      <c r="CN119" s="28"/>
      <c r="CO119" s="28"/>
      <c r="CP119" s="28"/>
      <c r="CQ119" s="28"/>
      <c r="CR119" s="28"/>
      <c r="CS119" s="28"/>
      <c r="CT119" s="28"/>
      <c r="CU119" s="28"/>
      <c r="CV119" s="28"/>
      <c r="CW119" s="28"/>
      <c r="CX119" s="28"/>
      <c r="CY119" s="28"/>
      <c r="CZ119" s="28"/>
      <c r="DA119" s="28"/>
      <c r="DB119" s="28"/>
      <c r="DC119" s="28"/>
      <c r="DD119" s="28"/>
      <c r="DE119" s="28"/>
      <c r="DF119" s="28"/>
      <c r="DG119" s="28"/>
      <c r="DH119" s="28"/>
      <c r="DI119" s="28"/>
      <c r="DJ119" s="28"/>
      <c r="DK119" s="29"/>
      <c r="DL119" s="29"/>
      <c r="DM119" s="29"/>
      <c r="DN119" s="29"/>
      <c r="DO119" s="29"/>
      <c r="DP119" s="29"/>
      <c r="DQ119" s="29"/>
      <c r="DR119" s="29"/>
      <c r="DS119" s="22"/>
      <c r="DT119" s="22"/>
      <c r="DU119" s="22"/>
      <c r="DV119" s="22"/>
    </row>
    <row r="120" spans="61:126" x14ac:dyDescent="0.25">
      <c r="BI120" s="22"/>
      <c r="BJ120" s="22"/>
      <c r="BK120" s="22"/>
      <c r="BL120" s="22"/>
      <c r="BM120" s="66"/>
      <c r="BN120" s="66"/>
      <c r="BO120" s="23"/>
      <c r="BP120" s="23"/>
      <c r="BQ120" s="23"/>
      <c r="BR120" s="24"/>
      <c r="BS120" s="24"/>
      <c r="BT120" s="68"/>
      <c r="BU120" s="68"/>
      <c r="BV120" s="25"/>
      <c r="BW120" s="26"/>
      <c r="BX120" s="27"/>
      <c r="BY120" s="28"/>
      <c r="BZ120" s="28"/>
      <c r="CA120" s="28"/>
      <c r="CB120" s="28"/>
      <c r="CC120" s="28"/>
      <c r="CD120" s="28"/>
      <c r="CE120" s="28"/>
      <c r="CF120" s="28"/>
      <c r="CG120" s="28"/>
      <c r="CH120" s="28"/>
      <c r="CI120" s="28"/>
      <c r="CJ120" s="28"/>
      <c r="CK120" s="28"/>
      <c r="CL120" s="28"/>
      <c r="CM120" s="28"/>
      <c r="CN120" s="28"/>
      <c r="CO120" s="28"/>
      <c r="CP120" s="28"/>
      <c r="CQ120" s="28"/>
      <c r="CR120" s="28"/>
      <c r="CS120" s="28"/>
      <c r="CT120" s="28"/>
      <c r="CU120" s="28"/>
      <c r="CV120" s="28"/>
      <c r="CW120" s="28"/>
      <c r="CX120" s="28"/>
      <c r="CY120" s="28"/>
      <c r="CZ120" s="28"/>
      <c r="DA120" s="28"/>
      <c r="DB120" s="28"/>
      <c r="DC120" s="28"/>
      <c r="DD120" s="28"/>
      <c r="DE120" s="28"/>
      <c r="DF120" s="28"/>
      <c r="DG120" s="28"/>
      <c r="DH120" s="28"/>
      <c r="DI120" s="28"/>
      <c r="DJ120" s="28"/>
      <c r="DK120" s="29"/>
      <c r="DL120" s="29"/>
      <c r="DM120" s="29"/>
      <c r="DN120" s="29"/>
      <c r="DO120" s="29"/>
      <c r="DP120" s="29"/>
      <c r="DQ120" s="29"/>
      <c r="DR120" s="29"/>
      <c r="DS120" s="22"/>
      <c r="DT120" s="22"/>
      <c r="DU120" s="22"/>
      <c r="DV120" s="22"/>
    </row>
    <row r="121" spans="61:126" x14ac:dyDescent="0.25">
      <c r="BI121" s="22"/>
      <c r="BJ121" s="22"/>
      <c r="BK121" s="22"/>
      <c r="BL121" s="22"/>
      <c r="BM121" s="66"/>
      <c r="BN121" s="66"/>
      <c r="BO121" s="23"/>
      <c r="BP121" s="23"/>
      <c r="BQ121" s="23"/>
      <c r="BR121" s="24"/>
      <c r="BS121" s="24"/>
      <c r="BT121" s="68"/>
      <c r="BU121" s="68"/>
      <c r="BV121" s="25"/>
      <c r="BW121" s="26"/>
      <c r="BX121" s="27"/>
      <c r="BY121" s="28"/>
      <c r="BZ121" s="28"/>
      <c r="CA121" s="28"/>
      <c r="CB121" s="28"/>
      <c r="CC121" s="28"/>
      <c r="CD121" s="28"/>
      <c r="CE121" s="28"/>
      <c r="CF121" s="28"/>
      <c r="CG121" s="28"/>
      <c r="CH121" s="28"/>
      <c r="CI121" s="28"/>
      <c r="CJ121" s="28"/>
      <c r="CK121" s="28"/>
      <c r="CL121" s="28"/>
      <c r="CM121" s="28"/>
      <c r="CN121" s="28"/>
      <c r="CO121" s="28"/>
      <c r="CP121" s="28"/>
      <c r="CQ121" s="28"/>
      <c r="CR121" s="28"/>
      <c r="CS121" s="28"/>
      <c r="CT121" s="28"/>
      <c r="CU121" s="28"/>
      <c r="CV121" s="28"/>
      <c r="CW121" s="28"/>
      <c r="CX121" s="28"/>
      <c r="CY121" s="28"/>
      <c r="CZ121" s="28"/>
      <c r="DA121" s="28"/>
      <c r="DB121" s="28"/>
      <c r="DC121" s="28"/>
      <c r="DD121" s="28"/>
      <c r="DE121" s="28"/>
      <c r="DF121" s="28"/>
      <c r="DG121" s="28"/>
      <c r="DH121" s="28"/>
      <c r="DI121" s="28"/>
      <c r="DJ121" s="28"/>
      <c r="DK121" s="29"/>
      <c r="DL121" s="29"/>
      <c r="DM121" s="29"/>
      <c r="DN121" s="29"/>
      <c r="DO121" s="29"/>
      <c r="DP121" s="29"/>
      <c r="DQ121" s="29"/>
      <c r="DR121" s="29"/>
      <c r="DS121" s="22"/>
      <c r="DT121" s="22"/>
      <c r="DU121" s="22"/>
      <c r="DV121" s="22"/>
    </row>
    <row r="122" spans="61:126" x14ac:dyDescent="0.25">
      <c r="BI122" s="22"/>
      <c r="BJ122" s="22"/>
      <c r="BK122" s="22"/>
      <c r="BL122" s="22"/>
      <c r="BM122" s="66"/>
      <c r="BN122" s="66"/>
      <c r="BO122" s="23"/>
      <c r="BP122" s="23"/>
      <c r="BQ122" s="23"/>
      <c r="BR122" s="24"/>
      <c r="BS122" s="24"/>
      <c r="BT122" s="68"/>
      <c r="BU122" s="68"/>
      <c r="BV122" s="25"/>
      <c r="BW122" s="26"/>
      <c r="BX122" s="27"/>
      <c r="BY122" s="28"/>
      <c r="BZ122" s="28"/>
      <c r="CA122" s="28"/>
      <c r="CB122" s="28"/>
      <c r="CC122" s="28"/>
      <c r="CD122" s="28"/>
      <c r="CE122" s="28"/>
      <c r="CF122" s="28"/>
      <c r="CG122" s="28"/>
      <c r="CH122" s="28"/>
      <c r="CI122" s="28"/>
      <c r="CJ122" s="28"/>
      <c r="CK122" s="28"/>
      <c r="CL122" s="28"/>
      <c r="CM122" s="28"/>
      <c r="CN122" s="28"/>
      <c r="CO122" s="28"/>
      <c r="CP122" s="28"/>
      <c r="CQ122" s="28"/>
      <c r="CR122" s="28"/>
      <c r="CS122" s="28"/>
      <c r="CT122" s="28"/>
      <c r="CU122" s="28"/>
      <c r="CV122" s="28"/>
      <c r="CW122" s="28"/>
      <c r="CX122" s="28"/>
      <c r="CY122" s="28"/>
      <c r="CZ122" s="28"/>
      <c r="DA122" s="28"/>
      <c r="DB122" s="28"/>
      <c r="DC122" s="28"/>
      <c r="DD122" s="28"/>
      <c r="DE122" s="28"/>
      <c r="DF122" s="28"/>
      <c r="DG122" s="28"/>
      <c r="DH122" s="28"/>
      <c r="DI122" s="28"/>
      <c r="DJ122" s="28"/>
      <c r="DK122" s="29"/>
      <c r="DL122" s="29"/>
      <c r="DM122" s="29"/>
      <c r="DN122" s="29"/>
      <c r="DO122" s="29"/>
      <c r="DP122" s="29"/>
      <c r="DQ122" s="29"/>
      <c r="DR122" s="29"/>
      <c r="DS122" s="22"/>
      <c r="DT122" s="22"/>
      <c r="DU122" s="22"/>
      <c r="DV122" s="22"/>
    </row>
    <row r="123" spans="61:126" x14ac:dyDescent="0.25">
      <c r="BI123" s="22"/>
      <c r="BJ123" s="22"/>
      <c r="BK123" s="22"/>
      <c r="BL123" s="22"/>
      <c r="BM123" s="66"/>
      <c r="BN123" s="66"/>
      <c r="BO123" s="23"/>
      <c r="BP123" s="23"/>
      <c r="BQ123" s="23"/>
      <c r="BR123" s="24"/>
      <c r="BS123" s="24"/>
      <c r="BT123" s="68"/>
      <c r="BU123" s="68"/>
      <c r="BV123" s="25"/>
      <c r="BW123" s="26"/>
      <c r="BX123" s="27"/>
      <c r="BY123" s="28"/>
      <c r="BZ123" s="28"/>
      <c r="CA123" s="28"/>
      <c r="CB123" s="28"/>
      <c r="CC123" s="28"/>
      <c r="CD123" s="28"/>
      <c r="CE123" s="28"/>
      <c r="CF123" s="28"/>
      <c r="CG123" s="28"/>
      <c r="CH123" s="28"/>
      <c r="CI123" s="28"/>
      <c r="CJ123" s="28"/>
      <c r="CK123" s="28"/>
      <c r="CL123" s="28"/>
      <c r="CM123" s="28"/>
      <c r="CN123" s="28"/>
      <c r="CO123" s="28"/>
      <c r="CP123" s="28"/>
      <c r="CQ123" s="28"/>
      <c r="CR123" s="28"/>
      <c r="CS123" s="28"/>
      <c r="CT123" s="28"/>
      <c r="CU123" s="28"/>
      <c r="CV123" s="28"/>
      <c r="CW123" s="28"/>
      <c r="CX123" s="28"/>
      <c r="CY123" s="28"/>
      <c r="CZ123" s="28"/>
      <c r="DA123" s="28"/>
      <c r="DB123" s="28"/>
      <c r="DC123" s="28"/>
      <c r="DD123" s="28"/>
      <c r="DE123" s="28"/>
      <c r="DF123" s="28"/>
      <c r="DG123" s="28"/>
      <c r="DH123" s="28"/>
      <c r="DI123" s="28"/>
      <c r="DJ123" s="28"/>
      <c r="DK123" s="29"/>
      <c r="DL123" s="29"/>
      <c r="DM123" s="29"/>
      <c r="DN123" s="29"/>
      <c r="DO123" s="29"/>
      <c r="DP123" s="29"/>
      <c r="DQ123" s="29"/>
      <c r="DR123" s="29"/>
      <c r="DS123" s="22"/>
      <c r="DT123" s="22"/>
      <c r="DU123" s="22"/>
      <c r="DV123" s="22"/>
    </row>
    <row r="124" spans="61:126" x14ac:dyDescent="0.25">
      <c r="BI124" s="22"/>
      <c r="BJ124" s="22"/>
      <c r="BK124" s="22"/>
      <c r="BL124" s="22"/>
      <c r="BM124" s="66"/>
      <c r="BN124" s="66"/>
      <c r="BO124" s="23"/>
      <c r="BP124" s="23"/>
      <c r="BQ124" s="23"/>
      <c r="BR124" s="24"/>
      <c r="BS124" s="24"/>
      <c r="BT124" s="68"/>
      <c r="BU124" s="68"/>
      <c r="BV124" s="25"/>
      <c r="BW124" s="26"/>
      <c r="BX124" s="27"/>
      <c r="BY124" s="28"/>
      <c r="BZ124" s="28"/>
      <c r="CA124" s="28"/>
      <c r="CB124" s="28"/>
      <c r="CC124" s="28"/>
      <c r="CD124" s="28"/>
      <c r="CE124" s="28"/>
      <c r="CF124" s="28"/>
      <c r="CG124" s="28"/>
      <c r="CH124" s="28"/>
      <c r="CI124" s="28"/>
      <c r="CJ124" s="28"/>
      <c r="CK124" s="28"/>
      <c r="CL124" s="28"/>
      <c r="CM124" s="28"/>
      <c r="CN124" s="28"/>
      <c r="CO124" s="28"/>
      <c r="CP124" s="28"/>
      <c r="CQ124" s="28"/>
      <c r="CR124" s="28"/>
      <c r="CS124" s="28"/>
      <c r="CT124" s="28"/>
      <c r="CU124" s="28"/>
      <c r="CV124" s="28"/>
      <c r="CW124" s="28"/>
      <c r="CX124" s="28"/>
      <c r="CY124" s="28"/>
      <c r="CZ124" s="28"/>
      <c r="DA124" s="28"/>
      <c r="DB124" s="28"/>
      <c r="DC124" s="28"/>
      <c r="DD124" s="28"/>
      <c r="DE124" s="28"/>
      <c r="DF124" s="28"/>
      <c r="DG124" s="28"/>
      <c r="DH124" s="28"/>
      <c r="DI124" s="28"/>
      <c r="DJ124" s="28"/>
      <c r="DK124" s="29"/>
      <c r="DL124" s="29"/>
      <c r="DM124" s="29"/>
      <c r="DN124" s="29"/>
      <c r="DO124" s="29"/>
      <c r="DP124" s="29"/>
      <c r="DQ124" s="29"/>
      <c r="DR124" s="29"/>
      <c r="DS124" s="22"/>
      <c r="DT124" s="22"/>
      <c r="DU124" s="22"/>
      <c r="DV124" s="22"/>
    </row>
    <row r="125" spans="61:126" x14ac:dyDescent="0.25">
      <c r="BI125" s="22"/>
      <c r="BJ125" s="22"/>
      <c r="BK125" s="22"/>
      <c r="BL125" s="22"/>
      <c r="BM125" s="66"/>
      <c r="BN125" s="66"/>
      <c r="BO125" s="23"/>
      <c r="BP125" s="23"/>
      <c r="BQ125" s="23"/>
      <c r="BR125" s="24"/>
      <c r="BS125" s="24"/>
      <c r="BT125" s="68"/>
      <c r="BU125" s="68"/>
      <c r="BV125" s="25"/>
      <c r="BW125" s="26"/>
      <c r="BX125" s="27"/>
      <c r="BY125" s="28"/>
      <c r="BZ125" s="28"/>
      <c r="CA125" s="28"/>
      <c r="CB125" s="28"/>
      <c r="CC125" s="28"/>
      <c r="CD125" s="28"/>
      <c r="CE125" s="28"/>
      <c r="CF125" s="28"/>
      <c r="CG125" s="28"/>
      <c r="CH125" s="28"/>
      <c r="CI125" s="28"/>
      <c r="CJ125" s="28"/>
      <c r="CK125" s="28"/>
      <c r="CL125" s="28"/>
      <c r="CM125" s="28"/>
      <c r="CN125" s="28"/>
      <c r="CO125" s="28"/>
      <c r="CP125" s="28"/>
      <c r="CQ125" s="28"/>
      <c r="CR125" s="28"/>
      <c r="CS125" s="28"/>
      <c r="CT125" s="28"/>
      <c r="CU125" s="28"/>
      <c r="CV125" s="28"/>
      <c r="CW125" s="28"/>
      <c r="CX125" s="28"/>
      <c r="CY125" s="28"/>
      <c r="CZ125" s="28"/>
      <c r="DA125" s="28"/>
      <c r="DB125" s="28"/>
      <c r="DC125" s="28"/>
      <c r="DD125" s="28"/>
      <c r="DE125" s="28"/>
      <c r="DF125" s="28"/>
      <c r="DG125" s="28"/>
      <c r="DH125" s="28"/>
      <c r="DI125" s="28"/>
      <c r="DJ125" s="28"/>
      <c r="DK125" s="29"/>
      <c r="DL125" s="29"/>
      <c r="DM125" s="29"/>
      <c r="DN125" s="29"/>
      <c r="DO125" s="29"/>
      <c r="DP125" s="29"/>
      <c r="DQ125" s="29"/>
      <c r="DR125" s="29"/>
      <c r="DS125" s="22"/>
      <c r="DT125" s="22"/>
      <c r="DU125" s="22"/>
      <c r="DV125" s="22"/>
    </row>
    <row r="126" spans="61:126" x14ac:dyDescent="0.25">
      <c r="BI126" s="22"/>
      <c r="BJ126" s="22"/>
      <c r="BK126" s="22"/>
      <c r="BL126" s="22"/>
      <c r="BM126" s="66"/>
      <c r="BN126" s="66"/>
      <c r="BO126" s="23"/>
      <c r="BP126" s="23"/>
      <c r="BQ126" s="23"/>
      <c r="BR126" s="24"/>
      <c r="BS126" s="24"/>
      <c r="BT126" s="68"/>
      <c r="BU126" s="68"/>
      <c r="BV126" s="25"/>
      <c r="BW126" s="26"/>
      <c r="BX126" s="27"/>
      <c r="BY126" s="28"/>
      <c r="BZ126" s="28"/>
      <c r="CA126" s="28"/>
      <c r="CB126" s="28"/>
      <c r="CC126" s="28"/>
      <c r="CD126" s="28"/>
      <c r="CE126" s="28"/>
      <c r="CF126" s="28"/>
      <c r="CG126" s="28"/>
      <c r="CH126" s="28"/>
      <c r="CI126" s="28"/>
      <c r="CJ126" s="28"/>
      <c r="CK126" s="28"/>
      <c r="CL126" s="28"/>
      <c r="CM126" s="28"/>
      <c r="CN126" s="28"/>
      <c r="CO126" s="28"/>
      <c r="CP126" s="28"/>
      <c r="CQ126" s="28"/>
      <c r="CR126" s="28"/>
      <c r="CS126" s="28"/>
      <c r="CT126" s="28"/>
      <c r="CU126" s="28"/>
      <c r="CV126" s="28"/>
      <c r="CW126" s="28"/>
      <c r="CX126" s="28"/>
      <c r="CY126" s="28"/>
      <c r="CZ126" s="28"/>
      <c r="DA126" s="28"/>
      <c r="DB126" s="28"/>
      <c r="DC126" s="28"/>
      <c r="DD126" s="28"/>
      <c r="DE126" s="28"/>
      <c r="DF126" s="28"/>
      <c r="DG126" s="28"/>
      <c r="DH126" s="28"/>
      <c r="DI126" s="28"/>
      <c r="DJ126" s="28"/>
      <c r="DK126" s="29"/>
      <c r="DL126" s="29"/>
      <c r="DM126" s="29"/>
      <c r="DN126" s="29"/>
      <c r="DO126" s="29"/>
      <c r="DP126" s="29"/>
      <c r="DQ126" s="29"/>
      <c r="DR126" s="29"/>
      <c r="DS126" s="22"/>
      <c r="DT126" s="22"/>
      <c r="DU126" s="22"/>
      <c r="DV126" s="22"/>
    </row>
    <row r="127" spans="61:126" x14ac:dyDescent="0.25">
      <c r="BI127" s="22"/>
      <c r="BJ127" s="22"/>
      <c r="BK127" s="22"/>
      <c r="BL127" s="22"/>
      <c r="BM127" s="66"/>
      <c r="BN127" s="66"/>
      <c r="BO127" s="23"/>
      <c r="BP127" s="23"/>
      <c r="BQ127" s="23"/>
      <c r="BR127" s="24"/>
      <c r="BS127" s="24"/>
      <c r="BT127" s="68"/>
      <c r="BU127" s="68"/>
      <c r="BV127" s="25"/>
      <c r="BW127" s="26"/>
      <c r="BX127" s="27"/>
      <c r="BY127" s="28"/>
      <c r="BZ127" s="28"/>
      <c r="CA127" s="28"/>
      <c r="CB127" s="28"/>
      <c r="CC127" s="28"/>
      <c r="CD127" s="28"/>
      <c r="CE127" s="28"/>
      <c r="CF127" s="28"/>
      <c r="CG127" s="28"/>
      <c r="CH127" s="28"/>
      <c r="CI127" s="28"/>
      <c r="CJ127" s="28"/>
      <c r="CK127" s="28"/>
      <c r="CL127" s="28"/>
      <c r="CM127" s="28"/>
      <c r="CN127" s="28"/>
      <c r="CO127" s="28"/>
      <c r="CP127" s="28"/>
      <c r="CQ127" s="28"/>
      <c r="CR127" s="28"/>
      <c r="CS127" s="28"/>
      <c r="CT127" s="28"/>
      <c r="CU127" s="28"/>
      <c r="CV127" s="28"/>
      <c r="CW127" s="28"/>
      <c r="CX127" s="28"/>
      <c r="CY127" s="28"/>
      <c r="CZ127" s="28"/>
      <c r="DA127" s="28"/>
      <c r="DB127" s="28"/>
      <c r="DC127" s="28"/>
      <c r="DD127" s="28"/>
      <c r="DE127" s="28"/>
      <c r="DF127" s="28"/>
      <c r="DG127" s="28"/>
      <c r="DH127" s="28"/>
      <c r="DI127" s="28"/>
      <c r="DJ127" s="28"/>
      <c r="DK127" s="29"/>
      <c r="DL127" s="29"/>
      <c r="DM127" s="29"/>
      <c r="DN127" s="29"/>
      <c r="DO127" s="29"/>
      <c r="DP127" s="29"/>
      <c r="DQ127" s="29"/>
      <c r="DR127" s="29"/>
      <c r="DS127" s="22"/>
      <c r="DT127" s="22"/>
      <c r="DU127" s="22"/>
      <c r="DV127" s="22"/>
    </row>
    <row r="128" spans="61:126" x14ac:dyDescent="0.25">
      <c r="BI128" s="22"/>
      <c r="BJ128" s="22"/>
      <c r="BK128" s="22"/>
      <c r="BL128" s="22"/>
      <c r="BM128" s="66"/>
      <c r="BN128" s="66"/>
      <c r="BO128" s="23"/>
      <c r="BP128" s="23"/>
      <c r="BQ128" s="23"/>
      <c r="BR128" s="24"/>
      <c r="BS128" s="24"/>
      <c r="BT128" s="68"/>
      <c r="BU128" s="68"/>
      <c r="BV128" s="25"/>
      <c r="BW128" s="26"/>
      <c r="BX128" s="27"/>
      <c r="BY128" s="28"/>
      <c r="BZ128" s="28"/>
      <c r="CA128" s="28"/>
      <c r="CB128" s="28"/>
      <c r="CC128" s="28"/>
      <c r="CD128" s="28"/>
      <c r="CE128" s="28"/>
      <c r="CF128" s="28"/>
      <c r="CG128" s="28"/>
      <c r="CH128" s="28"/>
      <c r="CI128" s="28"/>
      <c r="CJ128" s="28"/>
      <c r="CK128" s="28"/>
      <c r="CL128" s="28"/>
      <c r="CM128" s="28"/>
      <c r="CN128" s="28"/>
      <c r="CO128" s="28"/>
      <c r="CP128" s="28"/>
      <c r="CQ128" s="28"/>
      <c r="CR128" s="28"/>
      <c r="CS128" s="28"/>
      <c r="CT128" s="28"/>
      <c r="CU128" s="28"/>
      <c r="CV128" s="28"/>
      <c r="CW128" s="28"/>
      <c r="CX128" s="28"/>
      <c r="CY128" s="28"/>
      <c r="CZ128" s="28"/>
      <c r="DA128" s="28"/>
      <c r="DB128" s="28"/>
      <c r="DC128" s="28"/>
      <c r="DD128" s="28"/>
      <c r="DE128" s="28"/>
      <c r="DF128" s="28"/>
      <c r="DG128" s="28"/>
      <c r="DH128" s="28"/>
      <c r="DI128" s="28"/>
      <c r="DJ128" s="28"/>
      <c r="DK128" s="29"/>
      <c r="DL128" s="29"/>
      <c r="DM128" s="29"/>
      <c r="DN128" s="29"/>
      <c r="DO128" s="29"/>
      <c r="DP128" s="29"/>
      <c r="DQ128" s="29"/>
      <c r="DR128" s="29"/>
      <c r="DS128" s="22"/>
      <c r="DT128" s="22"/>
      <c r="DU128" s="22"/>
      <c r="DV128" s="22"/>
    </row>
    <row r="129" spans="15:126" x14ac:dyDescent="0.25">
      <c r="BI129" s="22"/>
      <c r="BJ129" s="22"/>
      <c r="BK129" s="22"/>
      <c r="BL129" s="22"/>
      <c r="BM129" s="66"/>
      <c r="BN129" s="66"/>
      <c r="BO129" s="23"/>
      <c r="BP129" s="23"/>
      <c r="BQ129" s="23"/>
      <c r="BR129" s="24"/>
      <c r="BS129" s="24"/>
      <c r="BT129" s="68"/>
      <c r="BU129" s="68"/>
      <c r="BV129" s="25"/>
      <c r="BW129" s="26"/>
      <c r="BX129" s="27"/>
      <c r="BY129" s="28"/>
      <c r="BZ129" s="28"/>
      <c r="CA129" s="28"/>
      <c r="CB129" s="28"/>
      <c r="CC129" s="28"/>
      <c r="CD129" s="28"/>
      <c r="CE129" s="28"/>
      <c r="CF129" s="28"/>
      <c r="CG129" s="28"/>
      <c r="CH129" s="28"/>
      <c r="CI129" s="28"/>
      <c r="CJ129" s="28"/>
      <c r="CK129" s="28"/>
      <c r="CL129" s="28"/>
      <c r="CM129" s="28"/>
      <c r="CN129" s="28"/>
      <c r="CO129" s="28"/>
      <c r="CP129" s="28"/>
      <c r="CQ129" s="28"/>
      <c r="CR129" s="28"/>
      <c r="CS129" s="28"/>
      <c r="CT129" s="28"/>
      <c r="CU129" s="28"/>
      <c r="CV129" s="28"/>
      <c r="CW129" s="28"/>
      <c r="CX129" s="28"/>
      <c r="CY129" s="28"/>
      <c r="CZ129" s="28"/>
      <c r="DA129" s="28"/>
      <c r="DB129" s="28"/>
      <c r="DC129" s="28"/>
      <c r="DD129" s="28"/>
      <c r="DE129" s="28"/>
      <c r="DF129" s="28"/>
      <c r="DG129" s="28"/>
      <c r="DH129" s="28"/>
      <c r="DI129" s="28"/>
      <c r="DJ129" s="28"/>
      <c r="DK129" s="29"/>
      <c r="DL129" s="29"/>
      <c r="DM129" s="29"/>
      <c r="DN129" s="29"/>
      <c r="DO129" s="29"/>
      <c r="DP129" s="29"/>
      <c r="DQ129" s="29"/>
      <c r="DR129" s="29"/>
      <c r="DS129" s="22"/>
      <c r="DT129" s="22"/>
      <c r="DU129" s="22"/>
      <c r="DV129" s="22"/>
    </row>
    <row r="130" spans="15:126" x14ac:dyDescent="0.25">
      <c r="BI130" s="22"/>
      <c r="BJ130" s="22"/>
      <c r="BK130" s="22"/>
      <c r="BL130" s="22"/>
      <c r="BM130" s="66"/>
      <c r="BN130" s="66"/>
      <c r="BO130" s="23"/>
      <c r="BP130" s="23"/>
      <c r="BQ130" s="23"/>
      <c r="BR130" s="24"/>
      <c r="BS130" s="24"/>
      <c r="BT130" s="68"/>
      <c r="BU130" s="68"/>
      <c r="BV130" s="25"/>
      <c r="BW130" s="26"/>
      <c r="BX130" s="27"/>
      <c r="BY130" s="28"/>
      <c r="BZ130" s="28"/>
      <c r="CA130" s="28"/>
      <c r="CB130" s="28"/>
      <c r="CC130" s="28"/>
      <c r="CD130" s="28"/>
      <c r="CE130" s="28"/>
      <c r="CF130" s="28"/>
      <c r="CG130" s="28"/>
      <c r="CH130" s="28"/>
      <c r="CI130" s="28"/>
      <c r="CJ130" s="28"/>
      <c r="CK130" s="28"/>
      <c r="CL130" s="28"/>
      <c r="CM130" s="28"/>
      <c r="CN130" s="28"/>
      <c r="CO130" s="28"/>
      <c r="CP130" s="28"/>
      <c r="CQ130" s="28"/>
      <c r="CR130" s="28"/>
      <c r="CS130" s="28"/>
      <c r="CT130" s="28"/>
      <c r="CU130" s="28"/>
      <c r="CV130" s="28"/>
      <c r="CW130" s="28"/>
      <c r="CX130" s="28"/>
      <c r="CY130" s="28"/>
      <c r="CZ130" s="28"/>
      <c r="DA130" s="28"/>
      <c r="DB130" s="28"/>
      <c r="DC130" s="28"/>
      <c r="DD130" s="28"/>
      <c r="DE130" s="28"/>
      <c r="DF130" s="28"/>
      <c r="DG130" s="28"/>
      <c r="DH130" s="28"/>
      <c r="DI130" s="28"/>
      <c r="DJ130" s="28"/>
      <c r="DK130" s="29"/>
      <c r="DL130" s="29"/>
      <c r="DM130" s="29"/>
      <c r="DN130" s="29"/>
      <c r="DO130" s="29"/>
      <c r="DP130" s="29"/>
      <c r="DQ130" s="29"/>
      <c r="DR130" s="29"/>
      <c r="DS130" s="22"/>
      <c r="DT130" s="22"/>
      <c r="DU130" s="22"/>
      <c r="DV130" s="22"/>
    </row>
    <row r="131" spans="15:126" x14ac:dyDescent="0.25">
      <c r="BI131" s="22"/>
      <c r="BJ131" s="22"/>
      <c r="BK131" s="22"/>
      <c r="BL131" s="22"/>
      <c r="BM131" s="66"/>
      <c r="BN131" s="66"/>
      <c r="BO131" s="23"/>
      <c r="BP131" s="23"/>
      <c r="BQ131" s="23"/>
      <c r="BR131" s="24"/>
      <c r="BS131" s="24"/>
      <c r="BT131" s="68"/>
      <c r="BU131" s="68"/>
      <c r="BV131" s="25"/>
      <c r="BW131" s="26"/>
      <c r="BX131" s="27"/>
      <c r="BY131" s="28"/>
      <c r="BZ131" s="28"/>
      <c r="CA131" s="28"/>
      <c r="CB131" s="28"/>
      <c r="CC131" s="28"/>
      <c r="CD131" s="28"/>
      <c r="CE131" s="28"/>
      <c r="CF131" s="28"/>
      <c r="CG131" s="28"/>
      <c r="CH131" s="28"/>
      <c r="CI131" s="28"/>
      <c r="CJ131" s="28"/>
      <c r="CK131" s="28"/>
      <c r="CL131" s="28"/>
      <c r="CM131" s="28"/>
      <c r="CN131" s="28"/>
      <c r="CO131" s="28"/>
      <c r="CP131" s="28"/>
      <c r="CQ131" s="28"/>
      <c r="CR131" s="28"/>
      <c r="CS131" s="28"/>
      <c r="CT131" s="28"/>
      <c r="CU131" s="28"/>
      <c r="CV131" s="28"/>
      <c r="CW131" s="28"/>
      <c r="CX131" s="28"/>
      <c r="CY131" s="28"/>
      <c r="CZ131" s="28"/>
      <c r="DA131" s="28"/>
      <c r="DB131" s="28"/>
      <c r="DC131" s="28"/>
      <c r="DD131" s="28"/>
      <c r="DE131" s="28"/>
      <c r="DF131" s="28"/>
      <c r="DG131" s="28"/>
      <c r="DH131" s="28"/>
      <c r="DI131" s="28"/>
      <c r="DJ131" s="28"/>
      <c r="DK131" s="29"/>
      <c r="DL131" s="29"/>
      <c r="DM131" s="29"/>
      <c r="DN131" s="29"/>
      <c r="DO131" s="29"/>
      <c r="DP131" s="29"/>
      <c r="DQ131" s="29"/>
      <c r="DR131" s="29"/>
      <c r="DS131" s="22"/>
      <c r="DT131" s="22"/>
      <c r="DU131" s="22"/>
      <c r="DV131" s="22"/>
    </row>
    <row r="132" spans="15:126" ht="15.75" customHeight="1" x14ac:dyDescent="0.25">
      <c r="BI132" s="22"/>
      <c r="BJ132" s="22"/>
      <c r="BK132" s="22"/>
      <c r="BL132" s="22"/>
      <c r="BM132" s="66"/>
      <c r="BN132" s="66"/>
      <c r="BO132" s="23"/>
      <c r="BP132" s="23"/>
      <c r="BQ132" s="23"/>
      <c r="BR132" s="24"/>
      <c r="BS132" s="24"/>
      <c r="BT132" s="68"/>
      <c r="BU132" s="68"/>
      <c r="BV132" s="25"/>
      <c r="BW132" s="26"/>
      <c r="BX132" s="27"/>
      <c r="BY132" s="28"/>
      <c r="BZ132" s="28"/>
      <c r="CA132" s="28"/>
      <c r="CB132" s="28"/>
      <c r="CC132" s="28"/>
      <c r="CD132" s="28"/>
      <c r="CE132" s="28"/>
      <c r="CF132" s="28"/>
      <c r="CG132" s="28"/>
      <c r="CH132" s="28"/>
      <c r="CI132" s="28"/>
      <c r="CJ132" s="28"/>
      <c r="CK132" s="28"/>
      <c r="CL132" s="28"/>
      <c r="CM132" s="28"/>
      <c r="CN132" s="28"/>
      <c r="CO132" s="28"/>
      <c r="CP132" s="28"/>
      <c r="CQ132" s="28"/>
      <c r="CR132" s="28"/>
      <c r="CS132" s="28"/>
      <c r="CT132" s="28"/>
      <c r="CU132" s="28"/>
      <c r="CV132" s="28"/>
      <c r="CW132" s="28"/>
      <c r="CX132" s="28"/>
      <c r="CY132" s="28"/>
      <c r="CZ132" s="28"/>
      <c r="DA132" s="28"/>
      <c r="DB132" s="28"/>
      <c r="DC132" s="28"/>
      <c r="DD132" s="28"/>
      <c r="DE132" s="28"/>
      <c r="DF132" s="28"/>
      <c r="DG132" s="28"/>
      <c r="DH132" s="28"/>
      <c r="DI132" s="28"/>
      <c r="DJ132" s="28"/>
      <c r="DK132" s="29"/>
      <c r="DL132" s="29"/>
      <c r="DM132" s="29"/>
      <c r="DN132" s="29"/>
      <c r="DO132" s="29"/>
      <c r="DP132" s="29"/>
      <c r="DQ132" s="29"/>
      <c r="DR132" s="29"/>
      <c r="DS132" s="22"/>
      <c r="DT132" s="22"/>
      <c r="DU132" s="22"/>
      <c r="DV132" s="22"/>
    </row>
    <row r="133" spans="15:126" x14ac:dyDescent="0.25">
      <c r="BI133" s="22"/>
      <c r="BJ133" s="22"/>
      <c r="BK133" s="22"/>
      <c r="BL133" s="22"/>
      <c r="BM133" s="66"/>
      <c r="BN133" s="66"/>
      <c r="BO133" s="23"/>
      <c r="BP133" s="23"/>
      <c r="BQ133" s="23"/>
      <c r="BR133" s="24"/>
      <c r="BS133" s="24"/>
      <c r="BT133" s="68"/>
      <c r="BU133" s="68"/>
      <c r="BV133" s="25"/>
      <c r="BW133" s="26"/>
      <c r="BX133" s="27"/>
      <c r="BY133" s="28"/>
      <c r="BZ133" s="28"/>
      <c r="CA133" s="28"/>
      <c r="CB133" s="28"/>
      <c r="CC133" s="28"/>
      <c r="CD133" s="28"/>
      <c r="CE133" s="28"/>
      <c r="CF133" s="28"/>
      <c r="CG133" s="28"/>
      <c r="CH133" s="28"/>
      <c r="CI133" s="28"/>
      <c r="CJ133" s="28"/>
      <c r="CK133" s="28"/>
      <c r="CL133" s="28"/>
      <c r="CM133" s="28"/>
      <c r="CN133" s="28"/>
      <c r="CO133" s="28"/>
      <c r="CP133" s="28"/>
      <c r="CQ133" s="28"/>
      <c r="CR133" s="28"/>
      <c r="CS133" s="28"/>
      <c r="CT133" s="28"/>
      <c r="CU133" s="28"/>
      <c r="CV133" s="28"/>
      <c r="CW133" s="28"/>
      <c r="CX133" s="28"/>
      <c r="CY133" s="28"/>
      <c r="CZ133" s="28"/>
      <c r="DA133" s="28"/>
      <c r="DB133" s="28"/>
      <c r="DC133" s="28"/>
      <c r="DD133" s="28"/>
      <c r="DE133" s="28"/>
      <c r="DF133" s="28"/>
      <c r="DG133" s="28"/>
      <c r="DH133" s="28"/>
      <c r="DI133" s="28"/>
      <c r="DJ133" s="28"/>
      <c r="DK133" s="29"/>
      <c r="DL133" s="29"/>
      <c r="DM133" s="29"/>
      <c r="DN133" s="29"/>
      <c r="DO133" s="29"/>
      <c r="DP133" s="29"/>
      <c r="DQ133" s="29"/>
      <c r="DR133" s="29"/>
      <c r="DS133" s="22"/>
      <c r="DT133" s="22"/>
      <c r="DU133" s="22"/>
      <c r="DV133" s="22"/>
    </row>
    <row r="134" spans="15:126" x14ac:dyDescent="0.25">
      <c r="O134" s="63"/>
      <c r="AB134" s="48"/>
      <c r="BI134" s="22"/>
      <c r="BJ134" s="22"/>
      <c r="BK134" s="22"/>
      <c r="BL134" s="22"/>
      <c r="BM134" s="66"/>
      <c r="BN134" s="66"/>
      <c r="BO134" s="23"/>
      <c r="BP134" s="23"/>
      <c r="BQ134" s="23"/>
      <c r="BR134" s="24"/>
      <c r="BS134" s="24"/>
      <c r="BT134" s="68"/>
      <c r="BU134" s="68"/>
      <c r="BV134" s="25"/>
      <c r="BW134" s="26"/>
      <c r="BX134" s="27"/>
      <c r="BY134" s="28"/>
      <c r="BZ134" s="28"/>
      <c r="CA134" s="28"/>
      <c r="CB134" s="28"/>
      <c r="CC134" s="28"/>
      <c r="CD134" s="28"/>
      <c r="CE134" s="28"/>
      <c r="CF134" s="28"/>
      <c r="CG134" s="28"/>
      <c r="CH134" s="28"/>
      <c r="CI134" s="28"/>
      <c r="CJ134" s="28"/>
      <c r="CK134" s="28"/>
      <c r="CL134" s="28"/>
      <c r="CM134" s="28"/>
      <c r="CN134" s="28"/>
      <c r="CO134" s="28"/>
      <c r="CP134" s="28"/>
      <c r="CQ134" s="28"/>
      <c r="CR134" s="28"/>
      <c r="CS134" s="28"/>
      <c r="CT134" s="28"/>
      <c r="CU134" s="28"/>
      <c r="CV134" s="28"/>
      <c r="CW134" s="28"/>
      <c r="CX134" s="28"/>
      <c r="CY134" s="28"/>
      <c r="CZ134" s="28"/>
      <c r="DA134" s="28"/>
      <c r="DB134" s="28"/>
      <c r="DC134" s="28"/>
      <c r="DD134" s="28"/>
      <c r="DE134" s="28"/>
      <c r="DF134" s="28"/>
      <c r="DG134" s="28"/>
      <c r="DH134" s="28"/>
      <c r="DI134" s="28"/>
      <c r="DJ134" s="28"/>
      <c r="DK134" s="29"/>
      <c r="DL134" s="29"/>
      <c r="DM134" s="29"/>
      <c r="DN134" s="29"/>
      <c r="DO134" s="29"/>
      <c r="DP134" s="29"/>
      <c r="DQ134" s="29"/>
      <c r="DR134" s="29"/>
      <c r="DS134" s="22"/>
      <c r="DT134" s="22"/>
      <c r="DU134" s="22"/>
      <c r="DV134" s="22"/>
    </row>
    <row r="135" spans="15:126" x14ac:dyDescent="0.25">
      <c r="AB135" s="48"/>
      <c r="BI135" s="22"/>
      <c r="BJ135" s="22"/>
      <c r="BK135" s="22"/>
      <c r="BL135" s="22"/>
      <c r="BM135" s="66"/>
      <c r="BN135" s="66"/>
      <c r="BO135" s="23"/>
      <c r="BP135" s="23"/>
      <c r="BQ135" s="23"/>
      <c r="BR135" s="24"/>
      <c r="BS135" s="24"/>
      <c r="BT135" s="68"/>
      <c r="BU135" s="68"/>
      <c r="BV135" s="25"/>
      <c r="BW135" s="26"/>
      <c r="BX135" s="27"/>
      <c r="BY135" s="28"/>
      <c r="BZ135" s="28"/>
      <c r="CA135" s="28"/>
      <c r="CB135" s="28"/>
      <c r="CC135" s="28"/>
      <c r="CD135" s="28"/>
      <c r="CE135" s="28"/>
      <c r="CF135" s="28"/>
      <c r="CG135" s="28"/>
      <c r="CH135" s="28"/>
      <c r="CI135" s="28"/>
      <c r="CJ135" s="28"/>
      <c r="CK135" s="28"/>
      <c r="CL135" s="28"/>
      <c r="CM135" s="28"/>
      <c r="CN135" s="28"/>
      <c r="CO135" s="28"/>
      <c r="CP135" s="28"/>
      <c r="CQ135" s="28"/>
      <c r="CR135" s="28"/>
      <c r="CS135" s="28"/>
      <c r="CT135" s="28"/>
      <c r="CU135" s="28"/>
      <c r="CV135" s="28"/>
      <c r="CW135" s="28"/>
      <c r="CX135" s="28"/>
      <c r="CY135" s="28"/>
      <c r="CZ135" s="28"/>
      <c r="DA135" s="28"/>
      <c r="DB135" s="28"/>
      <c r="DC135" s="28"/>
      <c r="DD135" s="28"/>
      <c r="DE135" s="28"/>
      <c r="DF135" s="28"/>
      <c r="DG135" s="28"/>
      <c r="DH135" s="28"/>
      <c r="DI135" s="28"/>
      <c r="DJ135" s="28"/>
      <c r="DK135" s="29"/>
      <c r="DL135" s="29"/>
      <c r="DM135" s="29"/>
      <c r="DN135" s="29"/>
      <c r="DO135" s="29"/>
      <c r="DP135" s="29"/>
      <c r="DQ135" s="29"/>
      <c r="DR135" s="29"/>
      <c r="DS135" s="22"/>
      <c r="DT135" s="22"/>
      <c r="DU135" s="22"/>
      <c r="DV135" s="22"/>
    </row>
    <row r="136" spans="15:126" x14ac:dyDescent="0.25">
      <c r="AB136" s="48"/>
      <c r="BI136" s="22"/>
      <c r="BJ136" s="22"/>
      <c r="BK136" s="22"/>
      <c r="BL136" s="22"/>
      <c r="BM136" s="66"/>
      <c r="BN136" s="66"/>
      <c r="BO136" s="23"/>
      <c r="BP136" s="23"/>
      <c r="BQ136" s="23"/>
      <c r="BR136" s="24"/>
      <c r="BS136" s="24"/>
      <c r="BT136" s="68"/>
      <c r="BU136" s="68"/>
      <c r="BV136" s="25"/>
      <c r="BW136" s="26"/>
      <c r="BX136" s="27"/>
      <c r="BY136" s="28"/>
      <c r="BZ136" s="28"/>
      <c r="CA136" s="28"/>
      <c r="CB136" s="28"/>
      <c r="CC136" s="28"/>
      <c r="CD136" s="28"/>
      <c r="CE136" s="28"/>
      <c r="CF136" s="28"/>
      <c r="CG136" s="28"/>
      <c r="CH136" s="28"/>
      <c r="CI136" s="28"/>
      <c r="CJ136" s="28"/>
      <c r="CK136" s="28"/>
      <c r="CL136" s="28"/>
      <c r="CM136" s="28"/>
      <c r="CN136" s="28"/>
      <c r="CO136" s="28"/>
      <c r="CP136" s="28"/>
      <c r="CQ136" s="28"/>
      <c r="CR136" s="28"/>
      <c r="CS136" s="28"/>
      <c r="CT136" s="28"/>
      <c r="CU136" s="28"/>
      <c r="CV136" s="28"/>
      <c r="CW136" s="28"/>
      <c r="CX136" s="28"/>
      <c r="CY136" s="28"/>
      <c r="CZ136" s="28"/>
      <c r="DA136" s="28"/>
      <c r="DB136" s="28"/>
      <c r="DC136" s="28"/>
      <c r="DD136" s="28"/>
      <c r="DE136" s="28"/>
      <c r="DF136" s="28"/>
      <c r="DG136" s="28"/>
      <c r="DH136" s="28"/>
      <c r="DI136" s="28"/>
      <c r="DJ136" s="28"/>
      <c r="DK136" s="29"/>
      <c r="DL136" s="29"/>
      <c r="DM136" s="29"/>
      <c r="DN136" s="29"/>
      <c r="DO136" s="29"/>
      <c r="DP136" s="29"/>
      <c r="DQ136" s="29"/>
      <c r="DR136" s="29"/>
      <c r="DS136" s="22"/>
      <c r="DT136" s="22"/>
      <c r="DU136" s="22"/>
      <c r="DV136" s="22"/>
    </row>
    <row r="137" spans="15:126" x14ac:dyDescent="0.25">
      <c r="AB137" s="48"/>
      <c r="BI137" s="22"/>
      <c r="BJ137" s="22"/>
      <c r="BK137" s="22"/>
      <c r="BL137" s="22"/>
      <c r="BM137" s="66"/>
      <c r="BN137" s="66"/>
      <c r="BO137" s="23"/>
      <c r="BP137" s="23"/>
      <c r="BQ137" s="23"/>
      <c r="BR137" s="24"/>
      <c r="BS137" s="24"/>
      <c r="BT137" s="68"/>
      <c r="BU137" s="68"/>
      <c r="BV137" s="25"/>
      <c r="BW137" s="26"/>
      <c r="BX137" s="27"/>
      <c r="BY137" s="28"/>
      <c r="BZ137" s="28"/>
      <c r="CA137" s="28"/>
      <c r="CB137" s="28"/>
      <c r="CC137" s="28"/>
      <c r="CD137" s="28"/>
      <c r="CE137" s="28"/>
      <c r="CF137" s="28"/>
      <c r="CG137" s="28"/>
      <c r="CH137" s="28"/>
      <c r="CI137" s="28"/>
      <c r="CJ137" s="28"/>
      <c r="CK137" s="28"/>
      <c r="CL137" s="28"/>
      <c r="CM137" s="28"/>
      <c r="CN137" s="28"/>
      <c r="CO137" s="28"/>
      <c r="CP137" s="28"/>
      <c r="CQ137" s="28"/>
      <c r="CR137" s="28"/>
      <c r="CS137" s="28"/>
      <c r="CT137" s="28"/>
      <c r="CU137" s="28"/>
      <c r="CV137" s="28"/>
      <c r="CW137" s="28"/>
      <c r="CX137" s="28"/>
      <c r="CY137" s="28"/>
      <c r="CZ137" s="28"/>
      <c r="DA137" s="28"/>
      <c r="DB137" s="28"/>
      <c r="DC137" s="28"/>
      <c r="DD137" s="28"/>
      <c r="DE137" s="28"/>
      <c r="DF137" s="28"/>
      <c r="DG137" s="28"/>
      <c r="DH137" s="28"/>
      <c r="DI137" s="28"/>
      <c r="DJ137" s="28"/>
      <c r="DK137" s="29"/>
      <c r="DL137" s="29"/>
      <c r="DM137" s="29"/>
      <c r="DN137" s="29"/>
      <c r="DO137" s="29"/>
      <c r="DP137" s="29"/>
      <c r="DQ137" s="29"/>
      <c r="DR137" s="29"/>
      <c r="DS137" s="22"/>
      <c r="DT137" s="22"/>
      <c r="DU137" s="22"/>
      <c r="DV137" s="22"/>
    </row>
    <row r="138" spans="15:126" x14ac:dyDescent="0.25">
      <c r="AB138" s="48"/>
      <c r="BI138" s="22"/>
      <c r="BJ138" s="22"/>
      <c r="BK138" s="22"/>
      <c r="BL138" s="22"/>
      <c r="BM138" s="66"/>
      <c r="BN138" s="66"/>
      <c r="BO138" s="23"/>
      <c r="BP138" s="23"/>
      <c r="BQ138" s="23"/>
      <c r="BR138" s="24"/>
      <c r="BS138" s="24"/>
      <c r="BT138" s="68"/>
      <c r="BU138" s="68"/>
      <c r="BV138" s="25"/>
      <c r="BW138" s="26"/>
      <c r="BX138" s="27"/>
      <c r="BY138" s="28"/>
      <c r="BZ138" s="28"/>
      <c r="CA138" s="28"/>
      <c r="CB138" s="28"/>
      <c r="CC138" s="28"/>
      <c r="CD138" s="28"/>
      <c r="CE138" s="28"/>
      <c r="CF138" s="28"/>
      <c r="CG138" s="28"/>
      <c r="CH138" s="28"/>
      <c r="CI138" s="28"/>
      <c r="CJ138" s="28"/>
      <c r="CK138" s="28"/>
      <c r="CL138" s="28"/>
      <c r="CM138" s="28"/>
      <c r="CN138" s="28"/>
      <c r="CO138" s="28"/>
      <c r="CP138" s="28"/>
      <c r="CQ138" s="28"/>
      <c r="CR138" s="28"/>
      <c r="CS138" s="28"/>
      <c r="CT138" s="28"/>
      <c r="CU138" s="28"/>
      <c r="CV138" s="28"/>
      <c r="CW138" s="28"/>
      <c r="CX138" s="28"/>
      <c r="CY138" s="28"/>
      <c r="CZ138" s="28"/>
      <c r="DA138" s="28"/>
      <c r="DB138" s="28"/>
      <c r="DC138" s="28"/>
      <c r="DD138" s="28"/>
      <c r="DE138" s="28"/>
      <c r="DF138" s="28"/>
      <c r="DG138" s="28"/>
      <c r="DH138" s="28"/>
      <c r="DI138" s="28"/>
      <c r="DJ138" s="28"/>
      <c r="DK138" s="29"/>
      <c r="DL138" s="29"/>
      <c r="DM138" s="29"/>
      <c r="DN138" s="29"/>
      <c r="DO138" s="29"/>
      <c r="DP138" s="29"/>
      <c r="DQ138" s="29"/>
      <c r="DR138" s="29"/>
      <c r="DS138" s="22"/>
      <c r="DT138" s="22"/>
      <c r="DU138" s="22"/>
      <c r="DV138" s="22"/>
    </row>
    <row r="139" spans="15:126" x14ac:dyDescent="0.25">
      <c r="AB139" s="48"/>
      <c r="BI139" s="22"/>
      <c r="BJ139" s="22"/>
      <c r="BK139" s="22"/>
      <c r="BL139" s="22"/>
      <c r="BM139" s="66"/>
      <c r="BN139" s="66"/>
      <c r="BO139" s="23"/>
      <c r="BP139" s="23"/>
      <c r="BQ139" s="23"/>
      <c r="BR139" s="24"/>
      <c r="BS139" s="24"/>
      <c r="BT139" s="68"/>
      <c r="BU139" s="68"/>
      <c r="BV139" s="25"/>
      <c r="BW139" s="26"/>
      <c r="BX139" s="27"/>
      <c r="BY139" s="28"/>
      <c r="BZ139" s="28"/>
      <c r="CA139" s="28"/>
      <c r="CB139" s="28"/>
      <c r="CC139" s="28"/>
      <c r="CD139" s="28"/>
      <c r="CE139" s="28"/>
      <c r="CF139" s="28"/>
      <c r="CG139" s="28"/>
      <c r="CH139" s="28"/>
      <c r="CI139" s="28"/>
      <c r="CJ139" s="28"/>
      <c r="CK139" s="28"/>
      <c r="CL139" s="28"/>
      <c r="CM139" s="28"/>
      <c r="CN139" s="28"/>
      <c r="CO139" s="28"/>
      <c r="CP139" s="28"/>
      <c r="CQ139" s="28"/>
      <c r="CR139" s="28"/>
      <c r="CS139" s="28"/>
      <c r="CT139" s="28"/>
      <c r="CU139" s="28"/>
      <c r="CV139" s="28"/>
      <c r="CW139" s="28"/>
      <c r="CX139" s="28"/>
      <c r="CY139" s="28"/>
      <c r="CZ139" s="28"/>
      <c r="DA139" s="28"/>
      <c r="DB139" s="28"/>
      <c r="DC139" s="28"/>
      <c r="DD139" s="28"/>
      <c r="DE139" s="28"/>
      <c r="DF139" s="28"/>
      <c r="DG139" s="28"/>
      <c r="DH139" s="28"/>
      <c r="DI139" s="28"/>
      <c r="DJ139" s="28"/>
      <c r="DK139" s="29"/>
      <c r="DL139" s="29"/>
      <c r="DM139" s="29"/>
      <c r="DN139" s="29"/>
      <c r="DO139" s="29"/>
      <c r="DP139" s="29"/>
      <c r="DQ139" s="29"/>
      <c r="DR139" s="29"/>
      <c r="DS139" s="22"/>
      <c r="DT139" s="22"/>
      <c r="DU139" s="22"/>
      <c r="DV139" s="22"/>
    </row>
    <row r="140" spans="15:126" x14ac:dyDescent="0.25">
      <c r="BI140" s="22"/>
      <c r="BJ140" s="22"/>
      <c r="BK140" s="22"/>
      <c r="BL140" s="22"/>
      <c r="BM140" s="66"/>
      <c r="BN140" s="66"/>
      <c r="BO140" s="23"/>
      <c r="BP140" s="23"/>
      <c r="BQ140" s="23"/>
      <c r="BR140" s="24"/>
      <c r="BS140" s="24"/>
      <c r="BT140" s="68"/>
      <c r="BU140" s="68"/>
      <c r="BV140" s="25"/>
      <c r="BW140" s="26"/>
      <c r="BX140" s="27"/>
      <c r="BY140" s="28"/>
      <c r="BZ140" s="28"/>
      <c r="CA140" s="28"/>
      <c r="CB140" s="28"/>
      <c r="CC140" s="28"/>
      <c r="CD140" s="28"/>
      <c r="CE140" s="28"/>
      <c r="CF140" s="28"/>
      <c r="CG140" s="28"/>
      <c r="CH140" s="28"/>
      <c r="CI140" s="28"/>
      <c r="CJ140" s="28"/>
      <c r="CK140" s="28"/>
      <c r="CL140" s="28"/>
      <c r="CM140" s="28"/>
      <c r="CN140" s="28"/>
      <c r="CO140" s="28"/>
      <c r="CP140" s="28"/>
      <c r="CQ140" s="28"/>
      <c r="CR140" s="28"/>
      <c r="CS140" s="28"/>
      <c r="CT140" s="28"/>
      <c r="CU140" s="28"/>
      <c r="CV140" s="28"/>
      <c r="CW140" s="28"/>
      <c r="CX140" s="28"/>
      <c r="CY140" s="28"/>
      <c r="CZ140" s="28"/>
      <c r="DA140" s="28"/>
      <c r="DB140" s="28"/>
      <c r="DC140" s="28"/>
      <c r="DD140" s="28"/>
      <c r="DE140" s="28"/>
      <c r="DF140" s="28"/>
      <c r="DG140" s="28"/>
      <c r="DH140" s="28"/>
      <c r="DI140" s="28"/>
      <c r="DJ140" s="28"/>
      <c r="DK140" s="29"/>
      <c r="DL140" s="29"/>
      <c r="DM140" s="29"/>
      <c r="DN140" s="29"/>
      <c r="DO140" s="29"/>
      <c r="DP140" s="29"/>
      <c r="DQ140" s="29"/>
      <c r="DR140" s="29"/>
      <c r="DS140" s="22"/>
      <c r="DT140" s="22"/>
      <c r="DU140" s="22"/>
      <c r="DV140" s="22"/>
    </row>
    <row r="141" spans="15:126" x14ac:dyDescent="0.25">
      <c r="BI141" s="22"/>
      <c r="BJ141" s="22"/>
      <c r="BK141" s="22"/>
      <c r="BL141" s="22"/>
      <c r="BM141" s="66"/>
      <c r="BN141" s="66"/>
      <c r="BO141" s="23"/>
      <c r="BP141" s="23"/>
      <c r="BQ141" s="23"/>
      <c r="BR141" s="24"/>
      <c r="BS141" s="24"/>
      <c r="BT141" s="68"/>
      <c r="BU141" s="68"/>
      <c r="BV141" s="25"/>
      <c r="BW141" s="26"/>
      <c r="BX141" s="27"/>
      <c r="BY141" s="28"/>
      <c r="BZ141" s="28"/>
      <c r="CA141" s="28"/>
      <c r="CB141" s="28"/>
      <c r="CC141" s="28"/>
      <c r="CD141" s="28"/>
      <c r="CE141" s="28"/>
      <c r="CF141" s="28"/>
      <c r="CG141" s="28"/>
      <c r="CH141" s="28"/>
      <c r="CI141" s="28"/>
      <c r="CJ141" s="28"/>
      <c r="CK141" s="28"/>
      <c r="CL141" s="28"/>
      <c r="CM141" s="28"/>
      <c r="CN141" s="28"/>
      <c r="CO141" s="28"/>
      <c r="CP141" s="28"/>
      <c r="CQ141" s="28"/>
      <c r="CR141" s="28"/>
      <c r="CS141" s="28"/>
      <c r="CT141" s="28"/>
      <c r="CU141" s="28"/>
      <c r="CV141" s="28"/>
      <c r="CW141" s="28"/>
      <c r="CX141" s="28"/>
      <c r="CY141" s="28"/>
      <c r="CZ141" s="28"/>
      <c r="DA141" s="28"/>
      <c r="DB141" s="28"/>
      <c r="DC141" s="28"/>
      <c r="DD141" s="28"/>
      <c r="DE141" s="28"/>
      <c r="DF141" s="28"/>
      <c r="DG141" s="28"/>
      <c r="DH141" s="28"/>
      <c r="DI141" s="28"/>
      <c r="DJ141" s="28"/>
      <c r="DK141" s="29"/>
      <c r="DL141" s="29"/>
      <c r="DM141" s="29"/>
      <c r="DN141" s="29"/>
      <c r="DO141" s="29"/>
      <c r="DP141" s="29"/>
      <c r="DQ141" s="29"/>
      <c r="DR141" s="29"/>
      <c r="DS141" s="22"/>
      <c r="DT141" s="22"/>
      <c r="DU141" s="22"/>
      <c r="DV141" s="22"/>
    </row>
    <row r="142" spans="15:126" x14ac:dyDescent="0.25">
      <c r="BI142" s="22"/>
      <c r="BJ142" s="22"/>
      <c r="BK142" s="22"/>
      <c r="BL142" s="22"/>
      <c r="BM142" s="66"/>
      <c r="BN142" s="66"/>
      <c r="BO142" s="23"/>
      <c r="BP142" s="23"/>
      <c r="BQ142" s="23"/>
      <c r="BR142" s="24"/>
      <c r="BS142" s="24"/>
      <c r="BT142" s="68"/>
      <c r="BU142" s="68"/>
      <c r="BV142" s="25"/>
      <c r="BW142" s="26"/>
      <c r="BX142" s="27"/>
      <c r="BY142" s="28"/>
      <c r="BZ142" s="28"/>
      <c r="CA142" s="28"/>
      <c r="CB142" s="28"/>
      <c r="CC142" s="28"/>
      <c r="CD142" s="28"/>
      <c r="CE142" s="28"/>
      <c r="CF142" s="28"/>
      <c r="CG142" s="28"/>
      <c r="CH142" s="28"/>
      <c r="CI142" s="28"/>
      <c r="CJ142" s="28"/>
      <c r="CK142" s="28"/>
      <c r="CL142" s="28"/>
      <c r="CM142" s="28"/>
      <c r="CN142" s="28"/>
      <c r="CO142" s="28"/>
      <c r="CP142" s="28"/>
      <c r="CQ142" s="28"/>
      <c r="CR142" s="28"/>
      <c r="CS142" s="28"/>
      <c r="CT142" s="28"/>
      <c r="CU142" s="28"/>
      <c r="CV142" s="28"/>
      <c r="CW142" s="28"/>
      <c r="CX142" s="28"/>
      <c r="CY142" s="28"/>
      <c r="CZ142" s="28"/>
      <c r="DA142" s="28"/>
      <c r="DB142" s="28"/>
      <c r="DC142" s="28"/>
      <c r="DD142" s="28"/>
      <c r="DE142" s="28"/>
      <c r="DF142" s="28"/>
      <c r="DG142" s="28"/>
      <c r="DH142" s="28"/>
      <c r="DI142" s="28"/>
      <c r="DJ142" s="28"/>
      <c r="DK142" s="29"/>
      <c r="DL142" s="29"/>
      <c r="DM142" s="29"/>
      <c r="DN142" s="29"/>
      <c r="DO142" s="29"/>
      <c r="DP142" s="29"/>
      <c r="DQ142" s="29"/>
      <c r="DR142" s="29"/>
      <c r="DS142" s="22"/>
      <c r="DT142" s="22"/>
      <c r="DU142" s="22"/>
      <c r="DV142" s="22"/>
    </row>
    <row r="143" spans="15:126" x14ac:dyDescent="0.25">
      <c r="BI143" s="22"/>
      <c r="BJ143" s="22"/>
      <c r="BK143" s="22"/>
      <c r="BL143" s="22"/>
      <c r="BM143" s="66"/>
      <c r="BN143" s="66"/>
      <c r="BO143" s="23"/>
      <c r="BP143" s="23"/>
      <c r="BQ143" s="23"/>
      <c r="BR143" s="24"/>
      <c r="BS143" s="24"/>
      <c r="BT143" s="68"/>
      <c r="BU143" s="68"/>
      <c r="BV143" s="25"/>
      <c r="BW143" s="26"/>
      <c r="BX143" s="27"/>
      <c r="BY143" s="28"/>
      <c r="BZ143" s="28"/>
      <c r="CA143" s="28"/>
      <c r="CB143" s="28"/>
      <c r="CC143" s="28"/>
      <c r="CD143" s="28"/>
      <c r="CE143" s="28"/>
      <c r="CF143" s="28"/>
      <c r="CG143" s="28"/>
      <c r="CH143" s="28"/>
      <c r="CI143" s="28"/>
      <c r="CJ143" s="28"/>
      <c r="CK143" s="28"/>
      <c r="CL143" s="28"/>
      <c r="CM143" s="28"/>
      <c r="CN143" s="28"/>
      <c r="CO143" s="28"/>
      <c r="CP143" s="28"/>
      <c r="CQ143" s="28"/>
      <c r="CR143" s="28"/>
      <c r="CS143" s="28"/>
      <c r="CT143" s="28"/>
      <c r="CU143" s="28"/>
      <c r="CV143" s="28"/>
      <c r="CW143" s="28"/>
      <c r="CX143" s="28"/>
      <c r="CY143" s="28"/>
      <c r="CZ143" s="28"/>
      <c r="DA143" s="28"/>
      <c r="DB143" s="28"/>
      <c r="DC143" s="28"/>
      <c r="DD143" s="28"/>
      <c r="DE143" s="28"/>
      <c r="DF143" s="28"/>
      <c r="DG143" s="28"/>
      <c r="DH143" s="28"/>
      <c r="DI143" s="28"/>
      <c r="DJ143" s="28"/>
      <c r="DK143" s="29"/>
      <c r="DL143" s="29"/>
      <c r="DM143" s="29"/>
      <c r="DN143" s="29"/>
      <c r="DO143" s="29"/>
      <c r="DP143" s="29"/>
      <c r="DQ143" s="29"/>
      <c r="DR143" s="29"/>
      <c r="DS143" s="22"/>
      <c r="DT143" s="22"/>
      <c r="DU143" s="22"/>
      <c r="DV143" s="22"/>
    </row>
    <row r="144" spans="15:126" x14ac:dyDescent="0.25">
      <c r="BI144" s="22"/>
      <c r="BJ144" s="22"/>
      <c r="BK144" s="22"/>
      <c r="BL144" s="22"/>
      <c r="BM144" s="66"/>
      <c r="BN144" s="66"/>
      <c r="BO144" s="23"/>
      <c r="BP144" s="23"/>
      <c r="BQ144" s="23"/>
      <c r="BR144" s="24"/>
      <c r="BS144" s="24"/>
      <c r="BT144" s="68"/>
      <c r="BU144" s="68"/>
      <c r="BV144" s="25"/>
      <c r="BW144" s="26"/>
      <c r="BX144" s="27"/>
      <c r="BY144" s="28"/>
      <c r="BZ144" s="28"/>
      <c r="CA144" s="28"/>
      <c r="CB144" s="28"/>
      <c r="CC144" s="28"/>
      <c r="CD144" s="28"/>
      <c r="CE144" s="28"/>
      <c r="CF144" s="28"/>
      <c r="CG144" s="28"/>
      <c r="CH144" s="28"/>
      <c r="CI144" s="28"/>
      <c r="CJ144" s="28"/>
      <c r="CK144" s="28"/>
      <c r="CL144" s="28"/>
      <c r="CM144" s="28"/>
      <c r="CN144" s="28"/>
      <c r="CO144" s="28"/>
      <c r="CP144" s="28"/>
      <c r="CQ144" s="28"/>
      <c r="CR144" s="28"/>
      <c r="CS144" s="28"/>
      <c r="CT144" s="28"/>
      <c r="CU144" s="28"/>
      <c r="CV144" s="28"/>
      <c r="CW144" s="28"/>
      <c r="CX144" s="28"/>
      <c r="CY144" s="28"/>
      <c r="CZ144" s="28"/>
      <c r="DA144" s="28"/>
      <c r="DB144" s="28"/>
      <c r="DC144" s="28"/>
      <c r="DD144" s="28"/>
      <c r="DE144" s="28"/>
      <c r="DF144" s="28"/>
      <c r="DG144" s="28"/>
      <c r="DH144" s="28"/>
      <c r="DI144" s="28"/>
      <c r="DJ144" s="28"/>
      <c r="DK144" s="29"/>
      <c r="DL144" s="29"/>
      <c r="DM144" s="29"/>
      <c r="DN144" s="29"/>
      <c r="DO144" s="29"/>
      <c r="DP144" s="29"/>
      <c r="DQ144" s="29"/>
      <c r="DR144" s="29"/>
      <c r="DS144" s="22"/>
      <c r="DT144" s="22"/>
      <c r="DU144" s="22"/>
      <c r="DV144" s="22"/>
    </row>
    <row r="145" spans="15:126" x14ac:dyDescent="0.25">
      <c r="BI145" s="22"/>
      <c r="BJ145" s="22"/>
      <c r="BK145" s="22"/>
      <c r="BL145" s="22"/>
      <c r="BM145" s="66"/>
      <c r="BN145" s="66"/>
      <c r="BO145" s="23"/>
      <c r="BP145" s="23"/>
      <c r="BQ145" s="23"/>
      <c r="BR145" s="24"/>
      <c r="BS145" s="24"/>
      <c r="BT145" s="68"/>
      <c r="BU145" s="68"/>
      <c r="BV145" s="25"/>
      <c r="BW145" s="26"/>
      <c r="BX145" s="27"/>
      <c r="BY145" s="28"/>
      <c r="BZ145" s="28"/>
      <c r="CA145" s="28"/>
      <c r="CB145" s="28"/>
      <c r="CC145" s="28"/>
      <c r="CD145" s="28"/>
      <c r="CE145" s="28"/>
      <c r="CF145" s="28"/>
      <c r="CG145" s="28"/>
      <c r="CH145" s="28"/>
      <c r="CI145" s="28"/>
      <c r="CJ145" s="28"/>
      <c r="CK145" s="28"/>
      <c r="CL145" s="28"/>
      <c r="CM145" s="28"/>
      <c r="CN145" s="28"/>
      <c r="CO145" s="28"/>
      <c r="CP145" s="28"/>
      <c r="CQ145" s="28"/>
      <c r="CR145" s="28"/>
      <c r="CS145" s="28"/>
      <c r="CT145" s="28"/>
      <c r="CU145" s="28"/>
      <c r="CV145" s="28"/>
      <c r="CW145" s="28"/>
      <c r="CX145" s="28"/>
      <c r="CY145" s="28"/>
      <c r="CZ145" s="28"/>
      <c r="DA145" s="28"/>
      <c r="DB145" s="28"/>
      <c r="DC145" s="28"/>
      <c r="DD145" s="28"/>
      <c r="DE145" s="28"/>
      <c r="DF145" s="28"/>
      <c r="DG145" s="28"/>
      <c r="DH145" s="28"/>
      <c r="DI145" s="28"/>
      <c r="DJ145" s="28"/>
      <c r="DK145" s="29"/>
      <c r="DL145" s="29"/>
      <c r="DM145" s="29"/>
      <c r="DN145" s="29"/>
      <c r="DO145" s="29"/>
      <c r="DP145" s="29"/>
      <c r="DQ145" s="29"/>
      <c r="DR145" s="29"/>
      <c r="DS145" s="22"/>
      <c r="DT145" s="22"/>
      <c r="DU145" s="22"/>
      <c r="DV145" s="22"/>
    </row>
    <row r="146" spans="15:126" x14ac:dyDescent="0.25">
      <c r="BI146" s="22"/>
      <c r="BJ146" s="22"/>
      <c r="BK146" s="22"/>
      <c r="BL146" s="22"/>
      <c r="BM146" s="66"/>
      <c r="BN146" s="66"/>
      <c r="BO146" s="23"/>
      <c r="BP146" s="23"/>
      <c r="BQ146" s="23"/>
      <c r="BR146" s="24"/>
      <c r="BS146" s="24"/>
      <c r="BT146" s="68"/>
      <c r="BU146" s="68"/>
      <c r="BV146" s="25"/>
      <c r="BW146" s="26"/>
      <c r="BX146" s="27"/>
      <c r="BY146" s="28"/>
      <c r="BZ146" s="28"/>
      <c r="CA146" s="28"/>
      <c r="CB146" s="28"/>
      <c r="CC146" s="28"/>
      <c r="CD146" s="28"/>
      <c r="CE146" s="28"/>
      <c r="CF146" s="28"/>
      <c r="CG146" s="28"/>
      <c r="CH146" s="28"/>
      <c r="CI146" s="28"/>
      <c r="CJ146" s="28"/>
      <c r="CK146" s="28"/>
      <c r="CL146" s="28"/>
      <c r="CM146" s="28"/>
      <c r="CN146" s="28"/>
      <c r="CO146" s="28"/>
      <c r="CP146" s="28"/>
      <c r="CQ146" s="28"/>
      <c r="CR146" s="28"/>
      <c r="CS146" s="28"/>
      <c r="CT146" s="28"/>
      <c r="CU146" s="28"/>
      <c r="CV146" s="28"/>
      <c r="CW146" s="28"/>
      <c r="CX146" s="28"/>
      <c r="CY146" s="28"/>
      <c r="CZ146" s="28"/>
      <c r="DA146" s="28"/>
      <c r="DB146" s="28"/>
      <c r="DC146" s="28"/>
      <c r="DD146" s="28"/>
      <c r="DE146" s="28"/>
      <c r="DF146" s="28"/>
      <c r="DG146" s="28"/>
      <c r="DH146" s="28"/>
      <c r="DI146" s="28"/>
      <c r="DJ146" s="28"/>
      <c r="DK146" s="29"/>
      <c r="DL146" s="29"/>
      <c r="DM146" s="29"/>
      <c r="DN146" s="29"/>
      <c r="DO146" s="29"/>
      <c r="DP146" s="29"/>
      <c r="DQ146" s="29"/>
      <c r="DR146" s="29"/>
      <c r="DS146" s="22"/>
      <c r="DT146" s="22"/>
      <c r="DU146" s="22"/>
      <c r="DV146" s="22"/>
    </row>
    <row r="147" spans="15:126" x14ac:dyDescent="0.25">
      <c r="BI147" s="22"/>
      <c r="BJ147" s="22"/>
      <c r="BK147" s="22"/>
      <c r="BL147" s="22"/>
      <c r="BM147" s="66"/>
      <c r="BN147" s="66"/>
      <c r="BO147" s="23"/>
      <c r="BP147" s="23"/>
      <c r="BQ147" s="23"/>
      <c r="BR147" s="24"/>
      <c r="BS147" s="24"/>
      <c r="BT147" s="68"/>
      <c r="BU147" s="68"/>
      <c r="BV147" s="25"/>
      <c r="BW147" s="26"/>
      <c r="BX147" s="27"/>
      <c r="BY147" s="28"/>
      <c r="BZ147" s="28"/>
      <c r="CA147" s="28"/>
      <c r="CB147" s="28"/>
      <c r="CC147" s="28"/>
      <c r="CD147" s="28"/>
      <c r="CE147" s="28"/>
      <c r="CF147" s="28"/>
      <c r="CG147" s="28"/>
      <c r="CH147" s="28"/>
      <c r="CI147" s="28"/>
      <c r="CJ147" s="28"/>
      <c r="CK147" s="28"/>
      <c r="CL147" s="28"/>
      <c r="CM147" s="28"/>
      <c r="CN147" s="28"/>
      <c r="CO147" s="28"/>
      <c r="CP147" s="28"/>
      <c r="CQ147" s="28"/>
      <c r="CR147" s="28"/>
      <c r="CS147" s="28"/>
      <c r="CT147" s="28"/>
      <c r="CU147" s="28"/>
      <c r="CV147" s="28"/>
      <c r="CW147" s="28"/>
      <c r="CX147" s="28"/>
      <c r="CY147" s="28"/>
      <c r="CZ147" s="28"/>
      <c r="DA147" s="28"/>
      <c r="DB147" s="28"/>
      <c r="DC147" s="28"/>
      <c r="DD147" s="28"/>
      <c r="DE147" s="28"/>
      <c r="DF147" s="28"/>
      <c r="DG147" s="28"/>
      <c r="DH147" s="28"/>
      <c r="DI147" s="28"/>
      <c r="DJ147" s="28"/>
      <c r="DK147" s="29"/>
      <c r="DL147" s="29"/>
      <c r="DM147" s="29"/>
      <c r="DN147" s="29"/>
      <c r="DO147" s="29"/>
      <c r="DP147" s="29"/>
      <c r="DQ147" s="29"/>
      <c r="DR147" s="29"/>
      <c r="DS147" s="22"/>
      <c r="DT147" s="22"/>
      <c r="DU147" s="22"/>
      <c r="DV147" s="22"/>
    </row>
    <row r="148" spans="15:126" x14ac:dyDescent="0.25">
      <c r="BI148" s="22"/>
      <c r="BJ148" s="22"/>
      <c r="BK148" s="22"/>
      <c r="BL148" s="22"/>
      <c r="BM148" s="66"/>
      <c r="BN148" s="66"/>
      <c r="BO148" s="23"/>
      <c r="BP148" s="23"/>
      <c r="BQ148" s="23"/>
      <c r="BR148" s="24"/>
      <c r="BS148" s="24"/>
      <c r="BT148" s="68"/>
      <c r="BU148" s="68"/>
      <c r="BV148" s="25"/>
      <c r="BW148" s="26"/>
      <c r="BX148" s="27"/>
      <c r="BY148" s="28"/>
      <c r="BZ148" s="28"/>
      <c r="CA148" s="28"/>
      <c r="CB148" s="28"/>
      <c r="CC148" s="28"/>
      <c r="CD148" s="28"/>
      <c r="CE148" s="28"/>
      <c r="CF148" s="28"/>
      <c r="CG148" s="28"/>
      <c r="CH148" s="28"/>
      <c r="CI148" s="28"/>
      <c r="CJ148" s="28"/>
      <c r="CK148" s="28"/>
      <c r="CL148" s="28"/>
      <c r="CM148" s="28"/>
      <c r="CN148" s="28"/>
      <c r="CO148" s="28"/>
      <c r="CP148" s="28"/>
      <c r="CQ148" s="28"/>
      <c r="CR148" s="28"/>
      <c r="CS148" s="28"/>
      <c r="CT148" s="28"/>
      <c r="CU148" s="28"/>
      <c r="CV148" s="28"/>
      <c r="CW148" s="28"/>
      <c r="CX148" s="28"/>
      <c r="CY148" s="28"/>
      <c r="CZ148" s="28"/>
      <c r="DA148" s="28"/>
      <c r="DB148" s="28"/>
      <c r="DC148" s="28"/>
      <c r="DD148" s="28"/>
      <c r="DE148" s="28"/>
      <c r="DF148" s="28"/>
      <c r="DG148" s="28"/>
      <c r="DH148" s="28"/>
      <c r="DI148" s="28"/>
      <c r="DJ148" s="28"/>
      <c r="DK148" s="29"/>
      <c r="DL148" s="29"/>
      <c r="DM148" s="29"/>
      <c r="DN148" s="29"/>
      <c r="DO148" s="29"/>
      <c r="DP148" s="29"/>
      <c r="DQ148" s="29"/>
      <c r="DR148" s="29"/>
      <c r="DS148" s="22"/>
      <c r="DT148" s="22"/>
      <c r="DU148" s="22"/>
      <c r="DV148" s="22"/>
    </row>
    <row r="149" spans="15:126" x14ac:dyDescent="0.25">
      <c r="O149" s="63"/>
      <c r="BI149" s="22"/>
      <c r="BJ149" s="22"/>
      <c r="BK149" s="22"/>
      <c r="BL149" s="22"/>
      <c r="BM149" s="66"/>
      <c r="BN149" s="66"/>
      <c r="BO149" s="23"/>
      <c r="BP149" s="23"/>
      <c r="BQ149" s="23"/>
      <c r="BR149" s="24"/>
      <c r="BS149" s="24"/>
      <c r="BT149" s="68"/>
      <c r="BU149" s="68"/>
      <c r="BV149" s="25"/>
      <c r="BW149" s="26"/>
      <c r="BX149" s="27"/>
      <c r="BY149" s="28"/>
      <c r="BZ149" s="28"/>
      <c r="CA149" s="28"/>
      <c r="CB149" s="28"/>
      <c r="CC149" s="28"/>
      <c r="CD149" s="28"/>
      <c r="CE149" s="28"/>
      <c r="CF149" s="28"/>
      <c r="CG149" s="28"/>
      <c r="CH149" s="28"/>
      <c r="CI149" s="28"/>
      <c r="CJ149" s="28"/>
      <c r="CK149" s="28"/>
      <c r="CL149" s="28"/>
      <c r="CM149" s="28"/>
      <c r="CN149" s="28"/>
      <c r="CO149" s="28"/>
      <c r="CP149" s="28"/>
      <c r="CQ149" s="28"/>
      <c r="CR149" s="28"/>
      <c r="CS149" s="28"/>
      <c r="CT149" s="28"/>
      <c r="CU149" s="28"/>
      <c r="CV149" s="28"/>
      <c r="CW149" s="28"/>
      <c r="CX149" s="28"/>
      <c r="CY149" s="28"/>
      <c r="CZ149" s="28"/>
      <c r="DA149" s="28"/>
      <c r="DB149" s="28"/>
      <c r="DC149" s="28"/>
      <c r="DD149" s="28"/>
      <c r="DE149" s="28"/>
      <c r="DF149" s="28"/>
      <c r="DG149" s="28"/>
      <c r="DH149" s="28"/>
      <c r="DI149" s="28"/>
      <c r="DJ149" s="28"/>
      <c r="DK149" s="29"/>
      <c r="DL149" s="29"/>
      <c r="DM149" s="29"/>
      <c r="DN149" s="29"/>
      <c r="DO149" s="29"/>
      <c r="DP149" s="29"/>
      <c r="DQ149" s="29"/>
      <c r="DR149" s="29"/>
      <c r="DS149" s="22"/>
      <c r="DT149" s="22"/>
      <c r="DU149" s="22"/>
      <c r="DV149" s="22"/>
    </row>
    <row r="150" spans="15:126" x14ac:dyDescent="0.25">
      <c r="BI150" s="22"/>
      <c r="BJ150" s="22"/>
      <c r="BK150" s="22"/>
      <c r="BL150" s="22"/>
      <c r="BM150" s="66"/>
      <c r="BN150" s="66"/>
      <c r="BO150" s="23"/>
      <c r="BP150" s="23"/>
      <c r="BQ150" s="23"/>
      <c r="BR150" s="24"/>
      <c r="BS150" s="24"/>
      <c r="BT150" s="68"/>
      <c r="BU150" s="68"/>
      <c r="BV150" s="25"/>
      <c r="BW150" s="26"/>
      <c r="BX150" s="27"/>
      <c r="BY150" s="28"/>
      <c r="BZ150" s="28"/>
      <c r="CA150" s="28"/>
      <c r="CB150" s="28"/>
      <c r="CC150" s="28"/>
      <c r="CD150" s="28"/>
      <c r="CE150" s="28"/>
      <c r="CF150" s="28"/>
      <c r="CG150" s="28"/>
      <c r="CH150" s="28"/>
      <c r="CI150" s="28"/>
      <c r="CJ150" s="28"/>
      <c r="CK150" s="28"/>
      <c r="CL150" s="28"/>
      <c r="CM150" s="28"/>
      <c r="CN150" s="28"/>
      <c r="CO150" s="28"/>
      <c r="CP150" s="28"/>
      <c r="CQ150" s="28"/>
      <c r="CR150" s="28"/>
      <c r="CS150" s="28"/>
      <c r="CT150" s="28"/>
      <c r="CU150" s="28"/>
      <c r="CV150" s="28"/>
      <c r="CW150" s="28"/>
      <c r="CX150" s="28"/>
      <c r="CY150" s="28"/>
      <c r="CZ150" s="28"/>
      <c r="DA150" s="28"/>
      <c r="DB150" s="28"/>
      <c r="DC150" s="28"/>
      <c r="DD150" s="28"/>
      <c r="DE150" s="28"/>
      <c r="DF150" s="28"/>
      <c r="DG150" s="28"/>
      <c r="DH150" s="28"/>
      <c r="DI150" s="28"/>
      <c r="DJ150" s="28"/>
      <c r="DK150" s="29"/>
      <c r="DL150" s="29"/>
      <c r="DM150" s="29"/>
      <c r="DN150" s="29"/>
      <c r="DO150" s="29"/>
      <c r="DP150" s="29"/>
      <c r="DQ150" s="29"/>
      <c r="DR150" s="29"/>
      <c r="DS150" s="22"/>
      <c r="DT150" s="22"/>
      <c r="DU150" s="22"/>
      <c r="DV150" s="22"/>
    </row>
    <row r="151" spans="15:126" x14ac:dyDescent="0.25">
      <c r="BI151" s="22"/>
      <c r="BJ151" s="22"/>
      <c r="BK151" s="22"/>
      <c r="BL151" s="22"/>
      <c r="BM151" s="66"/>
      <c r="BN151" s="66"/>
      <c r="BO151" s="23"/>
      <c r="BP151" s="23"/>
      <c r="BQ151" s="23"/>
      <c r="BR151" s="24"/>
      <c r="BS151" s="24"/>
      <c r="BT151" s="68"/>
      <c r="BU151" s="68"/>
      <c r="BV151" s="25"/>
      <c r="BW151" s="26"/>
      <c r="BX151" s="27"/>
      <c r="BY151" s="28"/>
      <c r="BZ151" s="28"/>
      <c r="CA151" s="28"/>
      <c r="CB151" s="28"/>
      <c r="CC151" s="28"/>
      <c r="CD151" s="28"/>
      <c r="CE151" s="28"/>
      <c r="CF151" s="28"/>
      <c r="CG151" s="28"/>
      <c r="CH151" s="28"/>
      <c r="CI151" s="28"/>
      <c r="CJ151" s="28"/>
      <c r="CK151" s="28"/>
      <c r="CL151" s="28"/>
      <c r="CM151" s="28"/>
      <c r="CN151" s="28"/>
      <c r="CO151" s="28"/>
      <c r="CP151" s="28"/>
      <c r="CQ151" s="28"/>
      <c r="CR151" s="28"/>
      <c r="CS151" s="28"/>
      <c r="CT151" s="28"/>
      <c r="CU151" s="28"/>
      <c r="CV151" s="28"/>
      <c r="CW151" s="28"/>
      <c r="CX151" s="28"/>
      <c r="CY151" s="28"/>
      <c r="CZ151" s="28"/>
      <c r="DA151" s="28"/>
      <c r="DB151" s="28"/>
      <c r="DC151" s="28"/>
      <c r="DD151" s="28"/>
      <c r="DE151" s="28"/>
      <c r="DF151" s="28"/>
      <c r="DG151" s="28"/>
      <c r="DH151" s="28"/>
      <c r="DI151" s="28"/>
      <c r="DJ151" s="28"/>
      <c r="DK151" s="29"/>
      <c r="DL151" s="29"/>
      <c r="DM151" s="29"/>
      <c r="DN151" s="29"/>
      <c r="DO151" s="29"/>
      <c r="DP151" s="29"/>
      <c r="DQ151" s="29"/>
      <c r="DR151" s="29"/>
      <c r="DS151" s="22"/>
      <c r="DT151" s="22"/>
      <c r="DU151" s="22"/>
      <c r="DV151" s="22"/>
    </row>
    <row r="152" spans="15:126" x14ac:dyDescent="0.25">
      <c r="O152" s="63"/>
      <c r="BI152" s="22"/>
      <c r="BJ152" s="22"/>
      <c r="BK152" s="22"/>
      <c r="BL152" s="22"/>
      <c r="BM152" s="66"/>
      <c r="BN152" s="66"/>
      <c r="BO152" s="23"/>
      <c r="BP152" s="23"/>
      <c r="BQ152" s="23"/>
      <c r="BR152" s="24"/>
      <c r="BS152" s="24"/>
      <c r="BT152" s="68"/>
      <c r="BU152" s="68"/>
      <c r="BV152" s="25"/>
      <c r="BW152" s="26"/>
      <c r="BX152" s="27"/>
      <c r="BY152" s="28"/>
      <c r="BZ152" s="28"/>
      <c r="CA152" s="28"/>
      <c r="CB152" s="28"/>
      <c r="CC152" s="28"/>
      <c r="CD152" s="28"/>
      <c r="CE152" s="28"/>
      <c r="CF152" s="28"/>
      <c r="CG152" s="28"/>
      <c r="CH152" s="28"/>
      <c r="CI152" s="28"/>
      <c r="CJ152" s="28"/>
      <c r="CK152" s="28"/>
      <c r="CL152" s="28"/>
      <c r="CM152" s="28"/>
      <c r="CN152" s="28"/>
      <c r="CO152" s="28"/>
      <c r="CP152" s="28"/>
      <c r="CQ152" s="28"/>
      <c r="CR152" s="28"/>
      <c r="CS152" s="28"/>
      <c r="CT152" s="28"/>
      <c r="CU152" s="28"/>
      <c r="CV152" s="28"/>
      <c r="CW152" s="28"/>
      <c r="CX152" s="28"/>
      <c r="CY152" s="28"/>
      <c r="CZ152" s="28"/>
      <c r="DA152" s="28"/>
      <c r="DB152" s="28"/>
      <c r="DC152" s="28"/>
      <c r="DD152" s="28"/>
      <c r="DE152" s="28"/>
      <c r="DF152" s="28"/>
      <c r="DG152" s="28"/>
      <c r="DH152" s="28"/>
      <c r="DI152" s="28"/>
      <c r="DJ152" s="28"/>
      <c r="DK152" s="29"/>
      <c r="DL152" s="29"/>
      <c r="DM152" s="29"/>
      <c r="DN152" s="29"/>
      <c r="DO152" s="29"/>
      <c r="DP152" s="29"/>
      <c r="DQ152" s="29"/>
      <c r="DR152" s="29"/>
      <c r="DS152" s="22"/>
      <c r="DT152" s="22"/>
      <c r="DU152" s="22"/>
      <c r="DV152" s="22"/>
    </row>
    <row r="153" spans="15:126" x14ac:dyDescent="0.25">
      <c r="BI153" s="22"/>
      <c r="BJ153" s="22"/>
      <c r="BK153" s="22"/>
      <c r="BL153" s="22"/>
      <c r="BM153" s="66"/>
      <c r="BN153" s="66"/>
      <c r="BO153" s="23"/>
      <c r="BP153" s="23"/>
      <c r="BQ153" s="23"/>
      <c r="BR153" s="24"/>
      <c r="BS153" s="24"/>
      <c r="BT153" s="68"/>
      <c r="BU153" s="68"/>
      <c r="BV153" s="25"/>
      <c r="BW153" s="26"/>
      <c r="BX153" s="27"/>
      <c r="BY153" s="28"/>
      <c r="BZ153" s="28"/>
      <c r="CA153" s="28"/>
      <c r="CB153" s="28"/>
      <c r="CC153" s="28"/>
      <c r="CD153" s="28"/>
      <c r="CE153" s="28"/>
      <c r="CF153" s="28"/>
      <c r="CG153" s="28"/>
      <c r="CH153" s="28"/>
      <c r="CI153" s="28"/>
      <c r="CJ153" s="28"/>
      <c r="CK153" s="28"/>
      <c r="CL153" s="28"/>
      <c r="CM153" s="28"/>
      <c r="CN153" s="28"/>
      <c r="CO153" s="28"/>
      <c r="CP153" s="28"/>
      <c r="CQ153" s="28"/>
      <c r="CR153" s="28"/>
      <c r="CS153" s="28"/>
      <c r="CT153" s="28"/>
      <c r="CU153" s="28"/>
      <c r="CV153" s="28"/>
      <c r="CW153" s="28"/>
      <c r="CX153" s="28"/>
      <c r="CY153" s="28"/>
      <c r="CZ153" s="28"/>
      <c r="DA153" s="28"/>
      <c r="DB153" s="28"/>
      <c r="DC153" s="28"/>
      <c r="DD153" s="28"/>
      <c r="DE153" s="28"/>
      <c r="DF153" s="28"/>
      <c r="DG153" s="28"/>
      <c r="DH153" s="28"/>
      <c r="DI153" s="28"/>
      <c r="DJ153" s="28"/>
      <c r="DK153" s="29"/>
      <c r="DL153" s="29"/>
      <c r="DM153" s="29"/>
      <c r="DN153" s="29"/>
      <c r="DO153" s="29"/>
      <c r="DP153" s="29"/>
      <c r="DQ153" s="29"/>
      <c r="DR153" s="29"/>
      <c r="DS153" s="22"/>
      <c r="DT153" s="22"/>
      <c r="DU153" s="22"/>
      <c r="DV153" s="22"/>
    </row>
    <row r="154" spans="15:126" x14ac:dyDescent="0.25">
      <c r="BI154" s="22"/>
      <c r="BJ154" s="22"/>
      <c r="BK154" s="22"/>
      <c r="BL154" s="22"/>
      <c r="BM154" s="66"/>
      <c r="BN154" s="66"/>
      <c r="BO154" s="23"/>
      <c r="BP154" s="23"/>
      <c r="BQ154" s="23"/>
      <c r="BR154" s="24"/>
      <c r="BS154" s="24"/>
      <c r="BT154" s="68"/>
      <c r="BU154" s="68"/>
      <c r="BV154" s="25"/>
      <c r="BW154" s="26"/>
      <c r="BX154" s="27"/>
      <c r="BY154" s="28"/>
      <c r="BZ154" s="28"/>
      <c r="CA154" s="28"/>
      <c r="CB154" s="28"/>
      <c r="CC154" s="28"/>
      <c r="CD154" s="28"/>
      <c r="CE154" s="28"/>
      <c r="CF154" s="28"/>
      <c r="CG154" s="28"/>
      <c r="CH154" s="28"/>
      <c r="CI154" s="28"/>
      <c r="CJ154" s="28"/>
      <c r="CK154" s="28"/>
      <c r="CL154" s="28"/>
      <c r="CM154" s="28"/>
      <c r="CN154" s="28"/>
      <c r="CO154" s="28"/>
      <c r="CP154" s="28"/>
      <c r="CQ154" s="28"/>
      <c r="CR154" s="28"/>
      <c r="CS154" s="28"/>
      <c r="CT154" s="28"/>
      <c r="CU154" s="28"/>
      <c r="CV154" s="28"/>
      <c r="CW154" s="28"/>
      <c r="CX154" s="28"/>
      <c r="CY154" s="28"/>
      <c r="CZ154" s="28"/>
      <c r="DA154" s="28"/>
      <c r="DB154" s="28"/>
      <c r="DC154" s="28"/>
      <c r="DD154" s="28"/>
      <c r="DE154" s="28"/>
      <c r="DF154" s="28"/>
      <c r="DG154" s="28"/>
      <c r="DH154" s="28"/>
      <c r="DI154" s="28"/>
      <c r="DJ154" s="28"/>
      <c r="DK154" s="29"/>
      <c r="DL154" s="29"/>
      <c r="DM154" s="29"/>
      <c r="DN154" s="29"/>
      <c r="DO154" s="29"/>
      <c r="DP154" s="29"/>
      <c r="DQ154" s="29"/>
      <c r="DR154" s="29"/>
      <c r="DS154" s="22"/>
      <c r="DT154" s="22"/>
      <c r="DU154" s="22"/>
      <c r="DV154" s="22"/>
    </row>
    <row r="155" spans="15:126" x14ac:dyDescent="0.25">
      <c r="BI155" s="22"/>
      <c r="BJ155" s="22"/>
      <c r="BK155" s="22"/>
      <c r="BL155" s="22"/>
      <c r="BM155" s="66"/>
      <c r="BN155" s="66"/>
      <c r="BO155" s="23"/>
      <c r="BP155" s="23"/>
      <c r="BQ155" s="23"/>
      <c r="BR155" s="24"/>
      <c r="BS155" s="24"/>
      <c r="BT155" s="68"/>
      <c r="BU155" s="68"/>
      <c r="BV155" s="25"/>
      <c r="BW155" s="26"/>
      <c r="BX155" s="27"/>
      <c r="BY155" s="28"/>
      <c r="BZ155" s="28"/>
      <c r="CA155" s="28"/>
      <c r="CB155" s="28"/>
      <c r="CC155" s="28"/>
      <c r="CD155" s="28"/>
      <c r="CE155" s="28"/>
      <c r="CF155" s="28"/>
      <c r="CG155" s="28"/>
      <c r="CH155" s="28"/>
      <c r="CI155" s="28"/>
      <c r="CJ155" s="28"/>
      <c r="CK155" s="28"/>
      <c r="CL155" s="28"/>
      <c r="CM155" s="28"/>
      <c r="CN155" s="28"/>
      <c r="CO155" s="28"/>
      <c r="CP155" s="28"/>
      <c r="CQ155" s="28"/>
      <c r="CR155" s="28"/>
      <c r="CS155" s="28"/>
      <c r="CT155" s="28"/>
      <c r="CU155" s="28"/>
      <c r="CV155" s="28"/>
      <c r="CW155" s="28"/>
      <c r="CX155" s="28"/>
      <c r="CY155" s="28"/>
      <c r="CZ155" s="28"/>
      <c r="DA155" s="28"/>
      <c r="DB155" s="28"/>
      <c r="DC155" s="28"/>
      <c r="DD155" s="28"/>
      <c r="DE155" s="28"/>
      <c r="DF155" s="28"/>
      <c r="DG155" s="28"/>
      <c r="DH155" s="28"/>
      <c r="DI155" s="28"/>
      <c r="DJ155" s="28"/>
      <c r="DK155" s="29"/>
      <c r="DL155" s="29"/>
      <c r="DM155" s="29"/>
      <c r="DN155" s="29"/>
      <c r="DO155" s="29"/>
      <c r="DP155" s="29"/>
      <c r="DQ155" s="29"/>
      <c r="DR155" s="29"/>
      <c r="DS155" s="22"/>
      <c r="DT155" s="22"/>
      <c r="DU155" s="22"/>
      <c r="DV155" s="22"/>
    </row>
    <row r="156" spans="15:126" x14ac:dyDescent="0.25">
      <c r="BI156" s="22"/>
      <c r="BJ156" s="22"/>
      <c r="BK156" s="22"/>
      <c r="BL156" s="22"/>
      <c r="BM156" s="66"/>
      <c r="BN156" s="66"/>
      <c r="BO156" s="23"/>
      <c r="BP156" s="23"/>
      <c r="BQ156" s="23"/>
      <c r="BR156" s="24"/>
      <c r="BS156" s="24"/>
      <c r="BT156" s="68"/>
      <c r="BU156" s="68"/>
      <c r="BV156" s="25"/>
      <c r="BW156" s="26"/>
      <c r="BX156" s="27"/>
      <c r="BY156" s="28"/>
      <c r="BZ156" s="28"/>
      <c r="CA156" s="28"/>
      <c r="CB156" s="28"/>
      <c r="CC156" s="28"/>
      <c r="CD156" s="28"/>
      <c r="CE156" s="28"/>
      <c r="CF156" s="28"/>
      <c r="CG156" s="28"/>
      <c r="CH156" s="28"/>
      <c r="CI156" s="28"/>
      <c r="CJ156" s="28"/>
      <c r="CK156" s="28"/>
      <c r="CL156" s="28"/>
      <c r="CM156" s="28"/>
      <c r="CN156" s="28"/>
      <c r="CO156" s="28"/>
      <c r="CP156" s="28"/>
      <c r="CQ156" s="28"/>
      <c r="CR156" s="28"/>
      <c r="CS156" s="28"/>
      <c r="CT156" s="28"/>
      <c r="CU156" s="28"/>
      <c r="CV156" s="28"/>
      <c r="CW156" s="28"/>
      <c r="CX156" s="28"/>
      <c r="CY156" s="28"/>
      <c r="CZ156" s="28"/>
      <c r="DA156" s="28"/>
      <c r="DB156" s="28"/>
      <c r="DC156" s="28"/>
      <c r="DD156" s="28"/>
      <c r="DE156" s="28"/>
      <c r="DF156" s="28"/>
      <c r="DG156" s="28"/>
      <c r="DH156" s="28"/>
      <c r="DI156" s="28"/>
      <c r="DJ156" s="28"/>
      <c r="DK156" s="29"/>
      <c r="DL156" s="29"/>
      <c r="DM156" s="29"/>
      <c r="DN156" s="29"/>
      <c r="DO156" s="29"/>
      <c r="DP156" s="29"/>
      <c r="DQ156" s="29"/>
      <c r="DR156" s="29"/>
      <c r="DS156" s="22"/>
      <c r="DT156" s="22"/>
      <c r="DU156" s="22"/>
      <c r="DV156" s="22"/>
    </row>
    <row r="157" spans="15:126" x14ac:dyDescent="0.25">
      <c r="BI157" s="22"/>
      <c r="BJ157" s="22"/>
      <c r="BK157" s="22"/>
      <c r="BL157" s="22"/>
      <c r="BM157" s="66"/>
      <c r="BN157" s="66"/>
      <c r="BO157" s="23"/>
      <c r="BP157" s="23"/>
      <c r="BQ157" s="23"/>
      <c r="BR157" s="24"/>
      <c r="BS157" s="24"/>
      <c r="BT157" s="68"/>
      <c r="BU157" s="68"/>
      <c r="BV157" s="25"/>
      <c r="BW157" s="26"/>
      <c r="BX157" s="27"/>
      <c r="BY157" s="28"/>
      <c r="BZ157" s="28"/>
      <c r="CA157" s="28"/>
      <c r="CB157" s="28"/>
      <c r="CC157" s="28"/>
      <c r="CD157" s="28"/>
      <c r="CE157" s="28"/>
      <c r="CF157" s="28"/>
      <c r="CG157" s="28"/>
      <c r="CH157" s="28"/>
      <c r="CI157" s="28"/>
      <c r="CJ157" s="28"/>
      <c r="CK157" s="28"/>
      <c r="CL157" s="28"/>
      <c r="CM157" s="28"/>
      <c r="CN157" s="28"/>
      <c r="CO157" s="28"/>
      <c r="CP157" s="28"/>
      <c r="CQ157" s="28"/>
      <c r="CR157" s="28"/>
      <c r="CS157" s="28"/>
      <c r="CT157" s="28"/>
      <c r="CU157" s="28"/>
      <c r="CV157" s="28"/>
      <c r="CW157" s="28"/>
      <c r="CX157" s="28"/>
      <c r="CY157" s="28"/>
      <c r="CZ157" s="28"/>
      <c r="DA157" s="28"/>
      <c r="DB157" s="28"/>
      <c r="DC157" s="28"/>
      <c r="DD157" s="28"/>
      <c r="DE157" s="28"/>
      <c r="DF157" s="28"/>
      <c r="DG157" s="28"/>
      <c r="DH157" s="28"/>
      <c r="DI157" s="28"/>
      <c r="DJ157" s="28"/>
      <c r="DK157" s="29"/>
      <c r="DL157" s="29"/>
      <c r="DM157" s="29"/>
      <c r="DN157" s="29"/>
      <c r="DO157" s="29"/>
      <c r="DP157" s="29"/>
      <c r="DQ157" s="29"/>
      <c r="DR157" s="29"/>
      <c r="DS157" s="22"/>
      <c r="DT157" s="22"/>
      <c r="DU157" s="22"/>
      <c r="DV157" s="22"/>
    </row>
    <row r="158" spans="15:126" x14ac:dyDescent="0.25">
      <c r="BI158" s="22"/>
      <c r="BJ158" s="22"/>
      <c r="BK158" s="22"/>
      <c r="BL158" s="22"/>
      <c r="BM158" s="66"/>
      <c r="BN158" s="66"/>
      <c r="BO158" s="23"/>
      <c r="BP158" s="23"/>
      <c r="BQ158" s="23"/>
      <c r="BR158" s="24"/>
      <c r="BS158" s="24"/>
      <c r="BT158" s="68"/>
      <c r="BU158" s="68"/>
      <c r="BV158" s="25"/>
      <c r="BW158" s="26"/>
      <c r="BX158" s="27"/>
      <c r="BY158" s="28"/>
      <c r="BZ158" s="28"/>
      <c r="CA158" s="28"/>
      <c r="CB158" s="28"/>
      <c r="CC158" s="28"/>
      <c r="CD158" s="28"/>
      <c r="CE158" s="28"/>
      <c r="CF158" s="28"/>
      <c r="CG158" s="28"/>
      <c r="CH158" s="28"/>
      <c r="CI158" s="28"/>
      <c r="CJ158" s="28"/>
      <c r="CK158" s="28"/>
      <c r="CL158" s="28"/>
      <c r="CM158" s="28"/>
      <c r="CN158" s="28"/>
      <c r="CO158" s="28"/>
      <c r="CP158" s="28"/>
      <c r="CQ158" s="28"/>
      <c r="CR158" s="28"/>
      <c r="CS158" s="28"/>
      <c r="CT158" s="28"/>
      <c r="CU158" s="28"/>
      <c r="CV158" s="28"/>
      <c r="CW158" s="28"/>
      <c r="CX158" s="28"/>
      <c r="CY158" s="28"/>
      <c r="CZ158" s="28"/>
      <c r="DA158" s="28"/>
      <c r="DB158" s="28"/>
      <c r="DC158" s="28"/>
      <c r="DD158" s="28"/>
      <c r="DE158" s="28"/>
      <c r="DF158" s="28"/>
      <c r="DG158" s="28"/>
      <c r="DH158" s="28"/>
      <c r="DI158" s="28"/>
      <c r="DJ158" s="28"/>
      <c r="DK158" s="29"/>
      <c r="DL158" s="29"/>
      <c r="DM158" s="29"/>
      <c r="DN158" s="29"/>
      <c r="DO158" s="29"/>
      <c r="DP158" s="29"/>
      <c r="DQ158" s="29"/>
      <c r="DR158" s="29"/>
      <c r="DS158" s="22"/>
      <c r="DT158" s="22"/>
      <c r="DU158" s="22"/>
      <c r="DV158" s="22"/>
    </row>
    <row r="159" spans="15:126" x14ac:dyDescent="0.25">
      <c r="BI159" s="22"/>
      <c r="BJ159" s="22"/>
      <c r="BK159" s="22"/>
      <c r="BL159" s="22"/>
      <c r="BM159" s="66"/>
      <c r="BN159" s="66"/>
      <c r="BO159" s="23"/>
      <c r="BP159" s="23"/>
      <c r="BQ159" s="23"/>
      <c r="BR159" s="24"/>
      <c r="BS159" s="24"/>
      <c r="BT159" s="68"/>
      <c r="BU159" s="68"/>
      <c r="BV159" s="25"/>
      <c r="BW159" s="26"/>
      <c r="BX159" s="27"/>
      <c r="BY159" s="28"/>
      <c r="BZ159" s="28"/>
      <c r="CA159" s="28"/>
      <c r="CB159" s="28"/>
      <c r="CC159" s="28"/>
      <c r="CD159" s="28"/>
      <c r="CE159" s="28"/>
      <c r="CF159" s="28"/>
      <c r="CG159" s="28"/>
      <c r="CH159" s="28"/>
      <c r="CI159" s="28"/>
      <c r="CJ159" s="28"/>
      <c r="CK159" s="28"/>
      <c r="CL159" s="28"/>
      <c r="CM159" s="28"/>
      <c r="CN159" s="28"/>
      <c r="CO159" s="28"/>
      <c r="CP159" s="28"/>
      <c r="CQ159" s="28"/>
      <c r="CR159" s="28"/>
      <c r="CS159" s="28"/>
      <c r="CT159" s="28"/>
      <c r="CU159" s="28"/>
      <c r="CV159" s="28"/>
      <c r="CW159" s="28"/>
      <c r="CX159" s="28"/>
      <c r="CY159" s="28"/>
      <c r="CZ159" s="28"/>
      <c r="DA159" s="28"/>
      <c r="DB159" s="28"/>
      <c r="DC159" s="28"/>
      <c r="DD159" s="28"/>
      <c r="DE159" s="28"/>
      <c r="DF159" s="28"/>
      <c r="DG159" s="28"/>
      <c r="DH159" s="28"/>
      <c r="DI159" s="28"/>
      <c r="DJ159" s="28"/>
      <c r="DK159" s="29"/>
      <c r="DL159" s="29"/>
      <c r="DM159" s="29"/>
      <c r="DN159" s="29"/>
      <c r="DO159" s="29"/>
      <c r="DP159" s="29"/>
      <c r="DQ159" s="29"/>
      <c r="DR159" s="29"/>
      <c r="DS159" s="22"/>
      <c r="DT159" s="22"/>
      <c r="DU159" s="22"/>
      <c r="DV159" s="22"/>
    </row>
    <row r="160" spans="15:126" x14ac:dyDescent="0.25">
      <c r="BI160" s="22"/>
      <c r="BJ160" s="22"/>
      <c r="BK160" s="22"/>
      <c r="BL160" s="22"/>
      <c r="BM160" s="66"/>
      <c r="BN160" s="66"/>
      <c r="BO160" s="23"/>
      <c r="BP160" s="23"/>
      <c r="BQ160" s="23"/>
      <c r="BR160" s="24"/>
      <c r="BS160" s="24"/>
      <c r="BT160" s="68"/>
      <c r="BU160" s="68"/>
      <c r="BV160" s="25"/>
      <c r="BW160" s="26"/>
      <c r="BX160" s="27"/>
      <c r="BY160" s="28"/>
      <c r="BZ160" s="28"/>
      <c r="CA160" s="28"/>
      <c r="CB160" s="28"/>
      <c r="CC160" s="28"/>
      <c r="CD160" s="28"/>
      <c r="CE160" s="28"/>
      <c r="CF160" s="28"/>
      <c r="CG160" s="28"/>
      <c r="CH160" s="28"/>
      <c r="CI160" s="28"/>
      <c r="CJ160" s="28"/>
      <c r="CK160" s="28"/>
      <c r="CL160" s="28"/>
      <c r="CM160" s="28"/>
      <c r="CN160" s="28"/>
      <c r="CO160" s="28"/>
      <c r="CP160" s="28"/>
      <c r="CQ160" s="28"/>
      <c r="CR160" s="28"/>
      <c r="CS160" s="28"/>
      <c r="CT160" s="28"/>
      <c r="CU160" s="28"/>
      <c r="CV160" s="28"/>
      <c r="CW160" s="28"/>
      <c r="CX160" s="28"/>
      <c r="CY160" s="28"/>
      <c r="CZ160" s="28"/>
      <c r="DA160" s="28"/>
      <c r="DB160" s="28"/>
      <c r="DC160" s="28"/>
      <c r="DD160" s="28"/>
      <c r="DE160" s="28"/>
      <c r="DF160" s="28"/>
      <c r="DG160" s="28"/>
      <c r="DH160" s="28"/>
      <c r="DI160" s="28"/>
      <c r="DJ160" s="28"/>
      <c r="DK160" s="29"/>
      <c r="DL160" s="29"/>
      <c r="DM160" s="29"/>
      <c r="DN160" s="29"/>
      <c r="DO160" s="29"/>
      <c r="DP160" s="29"/>
      <c r="DQ160" s="29"/>
      <c r="DR160" s="29"/>
      <c r="DS160" s="22"/>
      <c r="DT160" s="22"/>
      <c r="DU160" s="22"/>
      <c r="DV160" s="22"/>
    </row>
    <row r="161" spans="61:126" x14ac:dyDescent="0.25">
      <c r="BI161" s="22"/>
      <c r="BJ161" s="22"/>
      <c r="BK161" s="22"/>
      <c r="BL161" s="22"/>
      <c r="BM161" s="66"/>
      <c r="BN161" s="66"/>
      <c r="BO161" s="23"/>
      <c r="BP161" s="23"/>
      <c r="BQ161" s="23"/>
      <c r="BR161" s="24"/>
      <c r="BS161" s="24"/>
      <c r="BT161" s="68"/>
      <c r="BU161" s="68"/>
      <c r="BV161" s="25"/>
      <c r="BW161" s="26"/>
      <c r="BX161" s="27"/>
      <c r="BY161" s="28"/>
      <c r="BZ161" s="28"/>
      <c r="CA161" s="28"/>
      <c r="CB161" s="28"/>
      <c r="CC161" s="28"/>
      <c r="CD161" s="28"/>
      <c r="CE161" s="28"/>
      <c r="CF161" s="28"/>
      <c r="CG161" s="28"/>
      <c r="CH161" s="28"/>
      <c r="CI161" s="28"/>
      <c r="CJ161" s="28"/>
      <c r="CK161" s="28"/>
      <c r="CL161" s="28"/>
      <c r="CM161" s="28"/>
      <c r="CN161" s="28"/>
      <c r="CO161" s="28"/>
      <c r="CP161" s="28"/>
      <c r="CQ161" s="28"/>
      <c r="CR161" s="28"/>
      <c r="CS161" s="28"/>
      <c r="CT161" s="28"/>
      <c r="CU161" s="28"/>
      <c r="CV161" s="28"/>
      <c r="CW161" s="28"/>
      <c r="CX161" s="28"/>
      <c r="CY161" s="28"/>
      <c r="CZ161" s="28"/>
      <c r="DA161" s="28"/>
      <c r="DB161" s="28"/>
      <c r="DC161" s="28"/>
      <c r="DD161" s="28"/>
      <c r="DE161" s="28"/>
      <c r="DF161" s="28"/>
      <c r="DG161" s="28"/>
      <c r="DH161" s="28"/>
      <c r="DI161" s="28"/>
      <c r="DJ161" s="28"/>
      <c r="DK161" s="29"/>
      <c r="DL161" s="29"/>
      <c r="DM161" s="29"/>
      <c r="DN161" s="29"/>
      <c r="DO161" s="29"/>
      <c r="DP161" s="29"/>
      <c r="DQ161" s="29"/>
      <c r="DR161" s="29"/>
      <c r="DS161" s="22"/>
      <c r="DT161" s="22"/>
      <c r="DU161" s="22"/>
      <c r="DV161" s="22"/>
    </row>
    <row r="162" spans="61:126" x14ac:dyDescent="0.25">
      <c r="BI162" s="22"/>
      <c r="BJ162" s="22"/>
      <c r="BK162" s="22"/>
      <c r="BL162" s="22"/>
      <c r="BM162" s="66"/>
      <c r="BN162" s="66"/>
      <c r="BO162" s="23"/>
      <c r="BP162" s="23"/>
      <c r="BQ162" s="23"/>
      <c r="BR162" s="24"/>
      <c r="BS162" s="24"/>
      <c r="BT162" s="68"/>
      <c r="BU162" s="68"/>
      <c r="BV162" s="25"/>
      <c r="BW162" s="26"/>
      <c r="BX162" s="27"/>
      <c r="BY162" s="28"/>
      <c r="BZ162" s="28"/>
      <c r="CA162" s="28"/>
      <c r="CB162" s="28"/>
      <c r="CC162" s="28"/>
      <c r="CD162" s="28"/>
      <c r="CE162" s="28"/>
      <c r="CF162" s="28"/>
      <c r="CG162" s="28"/>
      <c r="CH162" s="28"/>
      <c r="CI162" s="28"/>
      <c r="CJ162" s="28"/>
      <c r="CK162" s="28"/>
      <c r="CL162" s="28"/>
      <c r="CM162" s="28"/>
      <c r="CN162" s="28"/>
      <c r="CO162" s="28"/>
      <c r="CP162" s="28"/>
      <c r="CQ162" s="28"/>
      <c r="CR162" s="28"/>
      <c r="CS162" s="28"/>
      <c r="CT162" s="28"/>
      <c r="CU162" s="28"/>
      <c r="CV162" s="28"/>
      <c r="CW162" s="28"/>
      <c r="CX162" s="28"/>
      <c r="CY162" s="28"/>
      <c r="CZ162" s="28"/>
      <c r="DA162" s="28"/>
      <c r="DB162" s="28"/>
      <c r="DC162" s="28"/>
      <c r="DD162" s="28"/>
      <c r="DE162" s="28"/>
      <c r="DF162" s="28"/>
      <c r="DG162" s="28"/>
      <c r="DH162" s="28"/>
      <c r="DI162" s="28"/>
      <c r="DJ162" s="28"/>
      <c r="DK162" s="29"/>
      <c r="DL162" s="29"/>
      <c r="DM162" s="29"/>
      <c r="DN162" s="29"/>
      <c r="DO162" s="29"/>
      <c r="DP162" s="29"/>
      <c r="DQ162" s="29"/>
      <c r="DR162" s="29"/>
      <c r="DS162" s="22"/>
      <c r="DT162" s="22"/>
      <c r="DU162" s="22"/>
      <c r="DV162" s="22"/>
    </row>
    <row r="163" spans="61:126" x14ac:dyDescent="0.25">
      <c r="BI163" s="22"/>
      <c r="BJ163" s="22"/>
      <c r="BK163" s="22"/>
      <c r="BL163" s="22"/>
      <c r="BM163" s="66"/>
      <c r="BN163" s="66"/>
      <c r="BO163" s="23"/>
      <c r="BP163" s="23"/>
      <c r="BQ163" s="23"/>
      <c r="BR163" s="24"/>
      <c r="BS163" s="24"/>
      <c r="BT163" s="68"/>
      <c r="BU163" s="68"/>
      <c r="BV163" s="25"/>
      <c r="BW163" s="26"/>
      <c r="BX163" s="27"/>
      <c r="BY163" s="28"/>
      <c r="BZ163" s="28"/>
      <c r="CA163" s="28"/>
      <c r="CB163" s="28"/>
      <c r="CC163" s="28"/>
      <c r="CD163" s="28"/>
      <c r="CE163" s="28"/>
      <c r="CF163" s="28"/>
      <c r="CG163" s="28"/>
      <c r="CH163" s="28"/>
      <c r="CI163" s="28"/>
      <c r="CJ163" s="28"/>
      <c r="CK163" s="28"/>
      <c r="CL163" s="28"/>
      <c r="CM163" s="28"/>
      <c r="CN163" s="28"/>
      <c r="CO163" s="28"/>
      <c r="CP163" s="28"/>
      <c r="CQ163" s="28"/>
      <c r="CR163" s="28"/>
      <c r="CS163" s="28"/>
      <c r="CT163" s="28"/>
      <c r="CU163" s="28"/>
      <c r="CV163" s="28"/>
      <c r="CW163" s="28"/>
      <c r="CX163" s="28"/>
      <c r="CY163" s="28"/>
      <c r="CZ163" s="28"/>
      <c r="DA163" s="28"/>
      <c r="DB163" s="28"/>
      <c r="DC163" s="28"/>
      <c r="DD163" s="28"/>
      <c r="DE163" s="28"/>
      <c r="DF163" s="28"/>
      <c r="DG163" s="28"/>
      <c r="DH163" s="28"/>
      <c r="DI163" s="28"/>
      <c r="DJ163" s="28"/>
      <c r="DK163" s="29"/>
      <c r="DL163" s="29"/>
      <c r="DM163" s="29"/>
      <c r="DN163" s="29"/>
      <c r="DO163" s="29"/>
      <c r="DP163" s="29"/>
      <c r="DQ163" s="29"/>
      <c r="DR163" s="29"/>
      <c r="DS163" s="22"/>
      <c r="DT163" s="22"/>
      <c r="DU163" s="22"/>
      <c r="DV163" s="22"/>
    </row>
    <row r="164" spans="61:126" x14ac:dyDescent="0.25">
      <c r="BI164" s="22"/>
      <c r="BJ164" s="22"/>
      <c r="BK164" s="22"/>
      <c r="BL164" s="22"/>
      <c r="BM164" s="66"/>
      <c r="BN164" s="66"/>
      <c r="BO164" s="23"/>
      <c r="BP164" s="23"/>
      <c r="BQ164" s="23"/>
      <c r="BR164" s="24"/>
      <c r="BS164" s="24"/>
      <c r="BT164" s="68"/>
      <c r="BU164" s="68"/>
      <c r="BV164" s="25"/>
      <c r="BW164" s="26"/>
      <c r="BX164" s="27"/>
      <c r="BY164" s="28"/>
      <c r="BZ164" s="28"/>
      <c r="CA164" s="28"/>
      <c r="CB164" s="28"/>
      <c r="CC164" s="28"/>
      <c r="CD164" s="28"/>
      <c r="CE164" s="28"/>
      <c r="CF164" s="28"/>
      <c r="CG164" s="28"/>
      <c r="CH164" s="28"/>
      <c r="CI164" s="28"/>
      <c r="CJ164" s="28"/>
      <c r="CK164" s="28"/>
      <c r="CL164" s="28"/>
      <c r="CM164" s="28"/>
      <c r="CN164" s="28"/>
      <c r="CO164" s="28"/>
      <c r="CP164" s="28"/>
      <c r="CQ164" s="28"/>
      <c r="CR164" s="28"/>
      <c r="CS164" s="28"/>
      <c r="CT164" s="28"/>
      <c r="CU164" s="28"/>
      <c r="CV164" s="28"/>
      <c r="CW164" s="28"/>
      <c r="CX164" s="28"/>
      <c r="CY164" s="28"/>
      <c r="CZ164" s="28"/>
      <c r="DA164" s="28"/>
      <c r="DB164" s="28"/>
      <c r="DC164" s="28"/>
      <c r="DD164" s="28"/>
      <c r="DE164" s="28"/>
      <c r="DF164" s="28"/>
      <c r="DG164" s="28"/>
      <c r="DH164" s="28"/>
      <c r="DI164" s="28"/>
      <c r="DJ164" s="28"/>
      <c r="DK164" s="29"/>
      <c r="DL164" s="29"/>
      <c r="DM164" s="29"/>
      <c r="DN164" s="29"/>
      <c r="DO164" s="29"/>
      <c r="DP164" s="29"/>
      <c r="DQ164" s="29"/>
      <c r="DR164" s="29"/>
      <c r="DS164" s="22"/>
      <c r="DT164" s="22"/>
      <c r="DU164" s="22"/>
      <c r="DV164" s="22"/>
    </row>
    <row r="165" spans="61:126" x14ac:dyDescent="0.25">
      <c r="BI165" s="22"/>
      <c r="BJ165" s="22"/>
      <c r="BK165" s="22"/>
      <c r="BL165" s="22"/>
      <c r="BM165" s="66"/>
      <c r="BN165" s="66"/>
      <c r="BO165" s="23"/>
      <c r="BP165" s="23"/>
      <c r="BQ165" s="23"/>
      <c r="BR165" s="24"/>
      <c r="BS165" s="24"/>
      <c r="BT165" s="68"/>
      <c r="BU165" s="68"/>
      <c r="BV165" s="25"/>
      <c r="BW165" s="26"/>
      <c r="BX165" s="27"/>
      <c r="BY165" s="28"/>
      <c r="BZ165" s="28"/>
      <c r="CA165" s="28"/>
      <c r="CB165" s="28"/>
      <c r="CC165" s="28"/>
      <c r="CD165" s="28"/>
      <c r="CE165" s="28"/>
      <c r="CF165" s="28"/>
      <c r="CG165" s="28"/>
      <c r="CH165" s="28"/>
      <c r="CI165" s="28"/>
      <c r="CJ165" s="28"/>
      <c r="CK165" s="28"/>
      <c r="CL165" s="28"/>
      <c r="CM165" s="28"/>
      <c r="CN165" s="28"/>
      <c r="CO165" s="28"/>
      <c r="CP165" s="28"/>
      <c r="CQ165" s="28"/>
      <c r="CR165" s="28"/>
      <c r="CS165" s="28"/>
      <c r="CT165" s="28"/>
      <c r="CU165" s="28"/>
      <c r="CV165" s="28"/>
      <c r="CW165" s="28"/>
      <c r="CX165" s="28"/>
      <c r="CY165" s="28"/>
      <c r="CZ165" s="28"/>
      <c r="DA165" s="28"/>
      <c r="DB165" s="28"/>
      <c r="DC165" s="28"/>
      <c r="DD165" s="28"/>
      <c r="DE165" s="28"/>
      <c r="DF165" s="28"/>
      <c r="DG165" s="28"/>
      <c r="DH165" s="28"/>
      <c r="DI165" s="28"/>
      <c r="DJ165" s="28"/>
      <c r="DK165" s="29"/>
      <c r="DL165" s="29"/>
      <c r="DM165" s="29"/>
      <c r="DN165" s="29"/>
      <c r="DO165" s="29"/>
      <c r="DP165" s="29"/>
      <c r="DQ165" s="29"/>
      <c r="DR165" s="29"/>
      <c r="DS165" s="22"/>
      <c r="DT165" s="22"/>
      <c r="DU165" s="22"/>
      <c r="DV165" s="22"/>
    </row>
    <row r="166" spans="61:126" x14ac:dyDescent="0.25">
      <c r="BI166" s="22"/>
      <c r="BJ166" s="22"/>
      <c r="BK166" s="22"/>
      <c r="BL166" s="22"/>
      <c r="BM166" s="66"/>
      <c r="BN166" s="66"/>
      <c r="BO166" s="23"/>
      <c r="BP166" s="23"/>
      <c r="BQ166" s="23"/>
      <c r="BR166" s="24"/>
      <c r="BS166" s="24"/>
      <c r="BT166" s="68"/>
      <c r="BU166" s="68"/>
      <c r="BV166" s="25"/>
      <c r="BW166" s="26"/>
      <c r="BX166" s="27"/>
      <c r="BY166" s="28"/>
      <c r="BZ166" s="28"/>
      <c r="CA166" s="28"/>
      <c r="CB166" s="28"/>
      <c r="CC166" s="28"/>
      <c r="CD166" s="28"/>
      <c r="CE166" s="28"/>
      <c r="CF166" s="28"/>
      <c r="CG166" s="28"/>
      <c r="CH166" s="28"/>
      <c r="CI166" s="28"/>
      <c r="CJ166" s="28"/>
      <c r="CK166" s="28"/>
      <c r="CL166" s="28"/>
      <c r="CM166" s="28"/>
      <c r="CN166" s="28"/>
      <c r="CO166" s="28"/>
      <c r="CP166" s="28"/>
      <c r="CQ166" s="28"/>
      <c r="CR166" s="28"/>
      <c r="CS166" s="28"/>
      <c r="CT166" s="28"/>
      <c r="CU166" s="28"/>
      <c r="CV166" s="28"/>
      <c r="CW166" s="28"/>
      <c r="CX166" s="28"/>
      <c r="CY166" s="28"/>
      <c r="CZ166" s="28"/>
      <c r="DA166" s="28"/>
      <c r="DB166" s="28"/>
      <c r="DC166" s="28"/>
      <c r="DD166" s="28"/>
      <c r="DE166" s="28"/>
      <c r="DF166" s="28"/>
      <c r="DG166" s="28"/>
      <c r="DH166" s="28"/>
      <c r="DI166" s="28"/>
      <c r="DJ166" s="28"/>
      <c r="DK166" s="29"/>
      <c r="DL166" s="29"/>
      <c r="DM166" s="29"/>
      <c r="DN166" s="29"/>
      <c r="DO166" s="29"/>
      <c r="DP166" s="29"/>
      <c r="DQ166" s="29"/>
      <c r="DR166" s="29"/>
      <c r="DS166" s="22"/>
      <c r="DT166" s="22"/>
      <c r="DU166" s="22"/>
      <c r="DV166" s="22"/>
    </row>
    <row r="167" spans="61:126" x14ac:dyDescent="0.25">
      <c r="BI167" s="22"/>
      <c r="BJ167" s="22"/>
      <c r="BK167" s="22"/>
      <c r="BL167" s="22"/>
      <c r="BM167" s="66"/>
      <c r="BN167" s="66"/>
      <c r="BO167" s="23"/>
      <c r="BP167" s="23"/>
      <c r="BQ167" s="23"/>
      <c r="BR167" s="24"/>
      <c r="BS167" s="24"/>
      <c r="BT167" s="68"/>
      <c r="BU167" s="68"/>
      <c r="BV167" s="25"/>
      <c r="BW167" s="26"/>
      <c r="BX167" s="27"/>
      <c r="BY167" s="28"/>
      <c r="BZ167" s="28"/>
      <c r="CA167" s="28"/>
      <c r="CB167" s="28"/>
      <c r="CC167" s="28"/>
      <c r="CD167" s="28"/>
      <c r="CE167" s="28"/>
      <c r="CF167" s="28"/>
      <c r="CG167" s="28"/>
      <c r="CH167" s="28"/>
      <c r="CI167" s="28"/>
      <c r="CJ167" s="28"/>
      <c r="CK167" s="28"/>
      <c r="CL167" s="28"/>
      <c r="CM167" s="28"/>
      <c r="CN167" s="28"/>
      <c r="CO167" s="28"/>
      <c r="CP167" s="28"/>
      <c r="CQ167" s="28"/>
      <c r="CR167" s="28"/>
      <c r="CS167" s="28"/>
      <c r="CT167" s="28"/>
      <c r="CU167" s="28"/>
      <c r="CV167" s="28"/>
      <c r="CW167" s="28"/>
      <c r="CX167" s="28"/>
      <c r="CY167" s="28"/>
      <c r="CZ167" s="28"/>
      <c r="DA167" s="28"/>
      <c r="DB167" s="28"/>
      <c r="DC167" s="28"/>
      <c r="DD167" s="28"/>
      <c r="DE167" s="28"/>
      <c r="DF167" s="28"/>
      <c r="DG167" s="28"/>
      <c r="DH167" s="28"/>
      <c r="DI167" s="28"/>
      <c r="DJ167" s="28"/>
      <c r="DK167" s="29"/>
      <c r="DL167" s="29"/>
      <c r="DM167" s="29"/>
      <c r="DN167" s="29"/>
      <c r="DO167" s="29"/>
      <c r="DP167" s="29"/>
      <c r="DQ167" s="29"/>
      <c r="DR167" s="29"/>
      <c r="DS167" s="22"/>
      <c r="DT167" s="22"/>
      <c r="DU167" s="22"/>
      <c r="DV167" s="22"/>
    </row>
    <row r="168" spans="61:126" x14ac:dyDescent="0.25">
      <c r="BI168" s="22"/>
      <c r="BJ168" s="22"/>
      <c r="BK168" s="22"/>
      <c r="BL168" s="22"/>
      <c r="BM168" s="66"/>
      <c r="BN168" s="66"/>
      <c r="BO168" s="23"/>
      <c r="BP168" s="23"/>
      <c r="BQ168" s="23"/>
      <c r="BR168" s="24"/>
      <c r="BS168" s="24"/>
      <c r="BT168" s="68"/>
      <c r="BU168" s="68"/>
      <c r="BV168" s="25"/>
      <c r="BW168" s="26"/>
      <c r="BX168" s="27"/>
      <c r="BY168" s="28"/>
      <c r="BZ168" s="28"/>
      <c r="CA168" s="28"/>
      <c r="CB168" s="28"/>
      <c r="CC168" s="28"/>
      <c r="CD168" s="28"/>
      <c r="CE168" s="28"/>
      <c r="CF168" s="28"/>
      <c r="CG168" s="28"/>
      <c r="CH168" s="28"/>
      <c r="CI168" s="28"/>
      <c r="CJ168" s="28"/>
      <c r="CK168" s="28"/>
      <c r="CL168" s="28"/>
      <c r="CM168" s="28"/>
      <c r="CN168" s="28"/>
      <c r="CO168" s="28"/>
      <c r="CP168" s="28"/>
      <c r="CQ168" s="28"/>
      <c r="CR168" s="28"/>
      <c r="CS168" s="28"/>
      <c r="CT168" s="28"/>
      <c r="CU168" s="28"/>
      <c r="CV168" s="28"/>
      <c r="CW168" s="28"/>
      <c r="CX168" s="28"/>
      <c r="CY168" s="28"/>
      <c r="CZ168" s="28"/>
      <c r="DA168" s="28"/>
      <c r="DB168" s="28"/>
      <c r="DC168" s="28"/>
      <c r="DD168" s="28"/>
      <c r="DE168" s="28"/>
      <c r="DF168" s="28"/>
      <c r="DG168" s="28"/>
      <c r="DH168" s="28"/>
      <c r="DI168" s="28"/>
      <c r="DJ168" s="28"/>
      <c r="DK168" s="29"/>
      <c r="DL168" s="29"/>
      <c r="DM168" s="29"/>
      <c r="DN168" s="29"/>
      <c r="DO168" s="29"/>
      <c r="DP168" s="29"/>
      <c r="DQ168" s="29"/>
      <c r="DR168" s="29"/>
      <c r="DS168" s="22"/>
      <c r="DT168" s="22"/>
      <c r="DU168" s="22"/>
      <c r="DV168" s="22"/>
    </row>
    <row r="169" spans="61:126" x14ac:dyDescent="0.25">
      <c r="BI169" s="22"/>
      <c r="BJ169" s="22"/>
      <c r="BK169" s="22"/>
      <c r="BL169" s="22"/>
      <c r="BM169" s="66"/>
      <c r="BN169" s="66"/>
      <c r="BO169" s="23"/>
      <c r="BP169" s="23"/>
      <c r="BQ169" s="23"/>
      <c r="BR169" s="24"/>
      <c r="BS169" s="24"/>
      <c r="BT169" s="68"/>
      <c r="BU169" s="68"/>
      <c r="BV169" s="25"/>
      <c r="BW169" s="26"/>
      <c r="BX169" s="27"/>
      <c r="BY169" s="28"/>
      <c r="BZ169" s="28"/>
      <c r="CA169" s="28"/>
      <c r="CB169" s="28"/>
      <c r="CC169" s="28"/>
      <c r="CD169" s="28"/>
      <c r="CE169" s="28"/>
      <c r="CF169" s="28"/>
      <c r="CG169" s="28"/>
      <c r="CH169" s="28"/>
      <c r="CI169" s="28"/>
      <c r="CJ169" s="28"/>
      <c r="CK169" s="28"/>
      <c r="CL169" s="28"/>
      <c r="CM169" s="28"/>
      <c r="CN169" s="28"/>
      <c r="CO169" s="28"/>
      <c r="CP169" s="28"/>
      <c r="CQ169" s="28"/>
      <c r="CR169" s="28"/>
      <c r="CS169" s="28"/>
      <c r="CT169" s="28"/>
      <c r="CU169" s="28"/>
      <c r="CV169" s="28"/>
      <c r="CW169" s="28"/>
      <c r="CX169" s="28"/>
      <c r="CY169" s="28"/>
      <c r="CZ169" s="28"/>
      <c r="DA169" s="28"/>
      <c r="DB169" s="28"/>
      <c r="DC169" s="28"/>
      <c r="DD169" s="28"/>
      <c r="DE169" s="28"/>
      <c r="DF169" s="28"/>
      <c r="DG169" s="28"/>
      <c r="DH169" s="28"/>
      <c r="DI169" s="28"/>
      <c r="DJ169" s="28"/>
      <c r="DK169" s="29"/>
      <c r="DL169" s="29"/>
      <c r="DM169" s="29"/>
      <c r="DN169" s="29"/>
      <c r="DO169" s="29"/>
      <c r="DP169" s="29"/>
      <c r="DQ169" s="29"/>
      <c r="DR169" s="29"/>
      <c r="DS169" s="22"/>
      <c r="DT169" s="22"/>
      <c r="DU169" s="22"/>
      <c r="DV169" s="22"/>
    </row>
    <row r="170" spans="61:126" x14ac:dyDescent="0.25">
      <c r="BI170" s="22"/>
      <c r="BJ170" s="22"/>
      <c r="BK170" s="22"/>
      <c r="BL170" s="22"/>
      <c r="BM170" s="66"/>
      <c r="BN170" s="66"/>
      <c r="BO170" s="23"/>
      <c r="BP170" s="23"/>
      <c r="BQ170" s="23"/>
      <c r="BR170" s="24"/>
      <c r="BS170" s="24"/>
      <c r="BT170" s="68"/>
      <c r="BU170" s="68"/>
      <c r="BV170" s="25"/>
      <c r="BW170" s="26"/>
      <c r="BX170" s="27"/>
      <c r="BY170" s="28"/>
      <c r="BZ170" s="28"/>
      <c r="CA170" s="28"/>
      <c r="CB170" s="28"/>
      <c r="CC170" s="28"/>
      <c r="CD170" s="28"/>
      <c r="CE170" s="28"/>
      <c r="CF170" s="28"/>
      <c r="CG170" s="28"/>
      <c r="CH170" s="28"/>
      <c r="CI170" s="28"/>
      <c r="CJ170" s="28"/>
      <c r="CK170" s="28"/>
      <c r="CL170" s="28"/>
      <c r="CM170" s="28"/>
      <c r="CN170" s="28"/>
      <c r="CO170" s="28"/>
      <c r="CP170" s="28"/>
      <c r="CQ170" s="28"/>
      <c r="CR170" s="28"/>
      <c r="CS170" s="28"/>
      <c r="CT170" s="28"/>
      <c r="CU170" s="28"/>
      <c r="CV170" s="28"/>
      <c r="CW170" s="28"/>
      <c r="CX170" s="28"/>
      <c r="CY170" s="28"/>
      <c r="CZ170" s="28"/>
      <c r="DA170" s="28"/>
      <c r="DB170" s="28"/>
      <c r="DC170" s="28"/>
      <c r="DD170" s="28"/>
      <c r="DE170" s="28"/>
      <c r="DF170" s="28"/>
      <c r="DG170" s="28"/>
      <c r="DH170" s="28"/>
      <c r="DI170" s="28"/>
      <c r="DJ170" s="28"/>
      <c r="DK170" s="29"/>
      <c r="DL170" s="29"/>
      <c r="DM170" s="29"/>
      <c r="DN170" s="29"/>
      <c r="DO170" s="29"/>
      <c r="DP170" s="29"/>
      <c r="DQ170" s="29"/>
      <c r="DR170" s="29"/>
      <c r="DS170" s="22"/>
      <c r="DT170" s="22"/>
      <c r="DU170" s="22"/>
      <c r="DV170" s="22"/>
    </row>
    <row r="171" spans="61:126" x14ac:dyDescent="0.25">
      <c r="BI171" s="22"/>
      <c r="BJ171" s="22"/>
      <c r="BK171" s="22"/>
      <c r="BL171" s="22"/>
      <c r="BM171" s="66"/>
      <c r="BN171" s="66"/>
      <c r="BO171" s="23"/>
      <c r="BP171" s="23"/>
      <c r="BQ171" s="23"/>
      <c r="BR171" s="24"/>
      <c r="BS171" s="24"/>
      <c r="BT171" s="68"/>
      <c r="BU171" s="68"/>
      <c r="BV171" s="25"/>
      <c r="BW171" s="26"/>
      <c r="BX171" s="27"/>
      <c r="BY171" s="28"/>
      <c r="BZ171" s="28"/>
      <c r="CA171" s="28"/>
      <c r="CB171" s="28"/>
      <c r="CC171" s="28"/>
      <c r="CD171" s="28"/>
      <c r="CE171" s="28"/>
      <c r="CF171" s="28"/>
      <c r="CG171" s="28"/>
      <c r="CH171" s="28"/>
      <c r="CI171" s="28"/>
      <c r="CJ171" s="28"/>
      <c r="CK171" s="28"/>
      <c r="CL171" s="28"/>
      <c r="CM171" s="28"/>
      <c r="CN171" s="28"/>
      <c r="CO171" s="28"/>
      <c r="CP171" s="28"/>
      <c r="CQ171" s="28"/>
      <c r="CR171" s="28"/>
      <c r="CS171" s="28"/>
      <c r="CT171" s="28"/>
      <c r="CU171" s="28"/>
      <c r="CV171" s="28"/>
      <c r="CW171" s="28"/>
      <c r="CX171" s="28"/>
      <c r="CY171" s="28"/>
      <c r="CZ171" s="28"/>
      <c r="DA171" s="28"/>
      <c r="DB171" s="28"/>
      <c r="DC171" s="28"/>
      <c r="DD171" s="28"/>
      <c r="DE171" s="28"/>
      <c r="DF171" s="28"/>
      <c r="DG171" s="28"/>
      <c r="DH171" s="28"/>
      <c r="DI171" s="28"/>
      <c r="DJ171" s="28"/>
      <c r="DK171" s="29"/>
      <c r="DL171" s="29"/>
      <c r="DM171" s="29"/>
      <c r="DN171" s="29"/>
      <c r="DO171" s="29"/>
      <c r="DP171" s="29"/>
      <c r="DQ171" s="29"/>
      <c r="DR171" s="29"/>
      <c r="DS171" s="22"/>
      <c r="DT171" s="22"/>
      <c r="DU171" s="22"/>
      <c r="DV171" s="22"/>
    </row>
    <row r="172" spans="61:126" x14ac:dyDescent="0.25">
      <c r="BI172" s="22"/>
      <c r="BJ172" s="22"/>
      <c r="BK172" s="22"/>
      <c r="BL172" s="22"/>
      <c r="BM172" s="66"/>
      <c r="BN172" s="66"/>
      <c r="BO172" s="23"/>
      <c r="BP172" s="23"/>
      <c r="BQ172" s="23"/>
      <c r="BR172" s="24"/>
      <c r="BS172" s="24"/>
      <c r="BT172" s="68"/>
      <c r="BU172" s="68"/>
      <c r="BV172" s="25"/>
      <c r="BW172" s="26"/>
      <c r="BX172" s="27"/>
      <c r="BY172" s="28"/>
      <c r="BZ172" s="28"/>
      <c r="CA172" s="28"/>
      <c r="CB172" s="28"/>
      <c r="CC172" s="28"/>
      <c r="CD172" s="28"/>
      <c r="CE172" s="28"/>
      <c r="CF172" s="28"/>
      <c r="CG172" s="28"/>
      <c r="CH172" s="28"/>
      <c r="CI172" s="28"/>
      <c r="CJ172" s="28"/>
      <c r="CK172" s="28"/>
      <c r="CL172" s="28"/>
      <c r="CM172" s="28"/>
      <c r="CN172" s="28"/>
      <c r="CO172" s="28"/>
      <c r="CP172" s="28"/>
      <c r="CQ172" s="28"/>
      <c r="CR172" s="28"/>
      <c r="CS172" s="28"/>
      <c r="CT172" s="28"/>
      <c r="CU172" s="28"/>
      <c r="CV172" s="28"/>
      <c r="CW172" s="28"/>
      <c r="CX172" s="28"/>
      <c r="CY172" s="28"/>
      <c r="CZ172" s="28"/>
      <c r="DA172" s="28"/>
      <c r="DB172" s="28"/>
      <c r="DC172" s="28"/>
      <c r="DD172" s="28"/>
      <c r="DE172" s="28"/>
      <c r="DF172" s="28"/>
      <c r="DG172" s="28"/>
      <c r="DH172" s="28"/>
      <c r="DI172" s="28"/>
      <c r="DJ172" s="28"/>
      <c r="DK172" s="29"/>
      <c r="DL172" s="29"/>
      <c r="DM172" s="29"/>
      <c r="DN172" s="29"/>
      <c r="DO172" s="29"/>
      <c r="DP172" s="29"/>
      <c r="DQ172" s="29"/>
      <c r="DR172" s="29"/>
      <c r="DS172" s="22"/>
      <c r="DT172" s="22"/>
      <c r="DU172" s="22"/>
      <c r="DV172" s="22"/>
    </row>
    <row r="173" spans="61:126" x14ac:dyDescent="0.25">
      <c r="BI173" s="22"/>
      <c r="BJ173" s="22"/>
      <c r="BK173" s="22"/>
      <c r="BL173" s="22"/>
      <c r="BM173" s="66"/>
      <c r="BN173" s="66"/>
      <c r="BO173" s="23"/>
      <c r="BP173" s="23"/>
      <c r="BQ173" s="23"/>
      <c r="BR173" s="24"/>
      <c r="BS173" s="24"/>
      <c r="BT173" s="68"/>
      <c r="BU173" s="68"/>
      <c r="BV173" s="25"/>
      <c r="BW173" s="26"/>
      <c r="BX173" s="27"/>
      <c r="BY173" s="28"/>
      <c r="BZ173" s="28"/>
      <c r="CA173" s="28"/>
      <c r="CB173" s="28"/>
      <c r="CC173" s="28"/>
      <c r="CD173" s="28"/>
      <c r="CE173" s="28"/>
      <c r="CF173" s="28"/>
      <c r="CG173" s="28"/>
      <c r="CH173" s="28"/>
      <c r="CI173" s="28"/>
      <c r="CJ173" s="28"/>
      <c r="CK173" s="28"/>
      <c r="CL173" s="28"/>
      <c r="CM173" s="28"/>
      <c r="CN173" s="28"/>
      <c r="CO173" s="28"/>
      <c r="CP173" s="28"/>
      <c r="CQ173" s="28"/>
      <c r="CR173" s="28"/>
      <c r="CS173" s="28"/>
      <c r="CT173" s="28"/>
      <c r="CU173" s="28"/>
      <c r="CV173" s="28"/>
      <c r="CW173" s="28"/>
      <c r="CX173" s="28"/>
      <c r="CY173" s="28"/>
      <c r="CZ173" s="28"/>
      <c r="DA173" s="28"/>
      <c r="DB173" s="28"/>
      <c r="DC173" s="28"/>
      <c r="DD173" s="28"/>
      <c r="DE173" s="28"/>
      <c r="DF173" s="28"/>
      <c r="DG173" s="28"/>
      <c r="DH173" s="28"/>
      <c r="DI173" s="28"/>
      <c r="DJ173" s="28"/>
      <c r="DK173" s="29"/>
      <c r="DL173" s="29"/>
      <c r="DM173" s="29"/>
      <c r="DN173" s="29"/>
      <c r="DO173" s="29"/>
      <c r="DP173" s="29"/>
      <c r="DQ173" s="29"/>
      <c r="DR173" s="29"/>
      <c r="DS173" s="22"/>
      <c r="DT173" s="22"/>
      <c r="DU173" s="22"/>
      <c r="DV173" s="22"/>
    </row>
    <row r="174" spans="61:126" x14ac:dyDescent="0.25">
      <c r="BI174" s="22"/>
      <c r="BJ174" s="22"/>
      <c r="BK174" s="22"/>
      <c r="BL174" s="22"/>
      <c r="BM174" s="66"/>
      <c r="BN174" s="66"/>
      <c r="BO174" s="23"/>
      <c r="BP174" s="23"/>
      <c r="BQ174" s="23"/>
      <c r="BR174" s="24"/>
      <c r="BS174" s="24"/>
      <c r="BT174" s="68"/>
      <c r="BU174" s="68"/>
      <c r="BV174" s="25"/>
      <c r="BW174" s="26"/>
      <c r="BX174" s="27"/>
      <c r="BY174" s="28"/>
      <c r="BZ174" s="28"/>
      <c r="CA174" s="28"/>
      <c r="CB174" s="28"/>
      <c r="CC174" s="28"/>
      <c r="CD174" s="28"/>
      <c r="CE174" s="28"/>
      <c r="CF174" s="28"/>
      <c r="CG174" s="28"/>
      <c r="CH174" s="28"/>
      <c r="CI174" s="28"/>
      <c r="CJ174" s="28"/>
      <c r="CK174" s="28"/>
      <c r="CL174" s="28"/>
      <c r="CM174" s="28"/>
      <c r="CN174" s="28"/>
      <c r="CO174" s="28"/>
      <c r="CP174" s="28"/>
      <c r="CQ174" s="28"/>
      <c r="CR174" s="28"/>
      <c r="CS174" s="28"/>
      <c r="CT174" s="28"/>
      <c r="CU174" s="28"/>
      <c r="CV174" s="28"/>
      <c r="CW174" s="28"/>
      <c r="CX174" s="28"/>
      <c r="CY174" s="28"/>
      <c r="CZ174" s="28"/>
      <c r="DA174" s="28"/>
      <c r="DB174" s="28"/>
      <c r="DC174" s="28"/>
      <c r="DD174" s="28"/>
      <c r="DE174" s="28"/>
      <c r="DF174" s="28"/>
      <c r="DG174" s="28"/>
      <c r="DH174" s="28"/>
      <c r="DI174" s="28"/>
      <c r="DJ174" s="28"/>
      <c r="DK174" s="29"/>
      <c r="DL174" s="29"/>
      <c r="DM174" s="29"/>
      <c r="DN174" s="29"/>
      <c r="DO174" s="29"/>
      <c r="DP174" s="29"/>
      <c r="DQ174" s="29"/>
      <c r="DR174" s="29"/>
      <c r="DS174" s="22"/>
      <c r="DT174" s="22"/>
      <c r="DU174" s="22"/>
      <c r="DV174" s="22"/>
    </row>
    <row r="175" spans="61:126" x14ac:dyDescent="0.25">
      <c r="BI175" s="22"/>
      <c r="BJ175" s="22"/>
      <c r="BK175" s="22"/>
      <c r="BL175" s="22"/>
      <c r="BM175" s="66"/>
      <c r="BN175" s="66"/>
      <c r="BO175" s="23"/>
      <c r="BP175" s="23"/>
      <c r="BQ175" s="23"/>
      <c r="BR175" s="24"/>
      <c r="BS175" s="24"/>
      <c r="BT175" s="68"/>
      <c r="BU175" s="68"/>
      <c r="BV175" s="25"/>
      <c r="BW175" s="26"/>
      <c r="BX175" s="27"/>
      <c r="BY175" s="28"/>
      <c r="BZ175" s="28"/>
      <c r="CA175" s="28"/>
      <c r="CB175" s="28"/>
      <c r="CC175" s="28"/>
      <c r="CD175" s="28"/>
      <c r="CE175" s="28"/>
      <c r="CF175" s="28"/>
      <c r="CG175" s="28"/>
      <c r="CH175" s="28"/>
      <c r="CI175" s="28"/>
      <c r="CJ175" s="28"/>
      <c r="CK175" s="28"/>
      <c r="CL175" s="28"/>
      <c r="CM175" s="28"/>
      <c r="CN175" s="28"/>
      <c r="CO175" s="28"/>
      <c r="CP175" s="28"/>
      <c r="CQ175" s="28"/>
      <c r="CR175" s="28"/>
      <c r="CS175" s="28"/>
      <c r="CT175" s="28"/>
      <c r="CU175" s="28"/>
      <c r="CV175" s="28"/>
      <c r="CW175" s="28"/>
      <c r="CX175" s="28"/>
      <c r="CY175" s="28"/>
      <c r="CZ175" s="28"/>
      <c r="DA175" s="28"/>
      <c r="DB175" s="28"/>
      <c r="DC175" s="28"/>
      <c r="DD175" s="28"/>
      <c r="DE175" s="28"/>
      <c r="DF175" s="28"/>
      <c r="DG175" s="28"/>
      <c r="DH175" s="28"/>
      <c r="DI175" s="28"/>
      <c r="DJ175" s="28"/>
      <c r="DK175" s="29"/>
      <c r="DL175" s="29"/>
      <c r="DM175" s="29"/>
      <c r="DN175" s="29"/>
      <c r="DO175" s="29"/>
      <c r="DP175" s="29"/>
      <c r="DQ175" s="29"/>
      <c r="DR175" s="29"/>
      <c r="DS175" s="22"/>
      <c r="DT175" s="22"/>
      <c r="DU175" s="22"/>
      <c r="DV175" s="22"/>
    </row>
    <row r="176" spans="61:126" x14ac:dyDescent="0.25">
      <c r="BI176" s="22"/>
      <c r="BJ176" s="22"/>
      <c r="BK176" s="22"/>
      <c r="BL176" s="22"/>
      <c r="BM176" s="66"/>
      <c r="BN176" s="66"/>
      <c r="BO176" s="23"/>
      <c r="BP176" s="23"/>
      <c r="BQ176" s="23"/>
      <c r="BR176" s="24"/>
      <c r="BS176" s="24"/>
      <c r="BT176" s="68"/>
      <c r="BU176" s="68"/>
      <c r="BV176" s="25"/>
      <c r="BW176" s="26"/>
      <c r="BX176" s="27"/>
      <c r="BY176" s="28"/>
      <c r="BZ176" s="28"/>
      <c r="CA176" s="28"/>
      <c r="CB176" s="28"/>
      <c r="CC176" s="28"/>
      <c r="CD176" s="28"/>
      <c r="CE176" s="28"/>
      <c r="CF176" s="28"/>
      <c r="CG176" s="28"/>
      <c r="CH176" s="28"/>
      <c r="CI176" s="28"/>
      <c r="CJ176" s="28"/>
      <c r="CK176" s="28"/>
      <c r="CL176" s="28"/>
      <c r="CM176" s="28"/>
      <c r="CN176" s="28"/>
      <c r="CO176" s="28"/>
      <c r="CP176" s="28"/>
      <c r="CQ176" s="28"/>
      <c r="CR176" s="28"/>
      <c r="CS176" s="28"/>
      <c r="CT176" s="28"/>
      <c r="CU176" s="28"/>
      <c r="CV176" s="28"/>
      <c r="CW176" s="28"/>
      <c r="CX176" s="28"/>
      <c r="CY176" s="28"/>
      <c r="CZ176" s="28"/>
      <c r="DA176" s="28"/>
      <c r="DB176" s="28"/>
      <c r="DC176" s="28"/>
      <c r="DD176" s="28"/>
      <c r="DE176" s="28"/>
      <c r="DF176" s="28"/>
      <c r="DG176" s="28"/>
      <c r="DH176" s="28"/>
      <c r="DI176" s="28"/>
      <c r="DJ176" s="28"/>
      <c r="DK176" s="29"/>
      <c r="DL176" s="29"/>
      <c r="DM176" s="29"/>
      <c r="DN176" s="29"/>
      <c r="DO176" s="29"/>
      <c r="DP176" s="29"/>
      <c r="DQ176" s="29"/>
      <c r="DR176" s="29"/>
      <c r="DS176" s="22"/>
      <c r="DT176" s="22"/>
      <c r="DU176" s="22"/>
      <c r="DV176" s="22"/>
    </row>
    <row r="177" spans="61:126" x14ac:dyDescent="0.25">
      <c r="BI177" s="22"/>
      <c r="BJ177" s="22"/>
      <c r="BK177" s="22"/>
      <c r="BL177" s="22"/>
      <c r="BM177" s="66"/>
      <c r="BN177" s="66"/>
      <c r="BO177" s="23"/>
      <c r="BP177" s="23"/>
      <c r="BQ177" s="23"/>
      <c r="BR177" s="24"/>
      <c r="BS177" s="24"/>
      <c r="BT177" s="68"/>
      <c r="BU177" s="68"/>
      <c r="BV177" s="25"/>
      <c r="BW177" s="26"/>
      <c r="BX177" s="27"/>
      <c r="BY177" s="28"/>
      <c r="BZ177" s="28"/>
      <c r="CA177" s="28"/>
      <c r="CB177" s="28"/>
      <c r="CC177" s="28"/>
      <c r="CD177" s="28"/>
      <c r="CE177" s="28"/>
      <c r="CF177" s="28"/>
      <c r="CG177" s="28"/>
      <c r="CH177" s="28"/>
      <c r="CI177" s="28"/>
      <c r="CJ177" s="28"/>
      <c r="CK177" s="28"/>
      <c r="CL177" s="28"/>
      <c r="CM177" s="28"/>
      <c r="CN177" s="28"/>
      <c r="CO177" s="28"/>
      <c r="CP177" s="28"/>
      <c r="CQ177" s="28"/>
      <c r="CR177" s="28"/>
      <c r="CS177" s="28"/>
      <c r="CT177" s="28"/>
      <c r="CU177" s="28"/>
      <c r="CV177" s="28"/>
      <c r="CW177" s="28"/>
      <c r="CX177" s="28"/>
      <c r="CY177" s="28"/>
      <c r="CZ177" s="28"/>
      <c r="DA177" s="28"/>
      <c r="DB177" s="28"/>
      <c r="DC177" s="28"/>
      <c r="DD177" s="28"/>
      <c r="DE177" s="28"/>
      <c r="DF177" s="28"/>
      <c r="DG177" s="28"/>
      <c r="DH177" s="28"/>
      <c r="DI177" s="28"/>
      <c r="DJ177" s="28"/>
      <c r="DK177" s="29"/>
      <c r="DL177" s="29"/>
      <c r="DM177" s="29"/>
      <c r="DN177" s="29"/>
      <c r="DO177" s="29"/>
      <c r="DP177" s="29"/>
      <c r="DQ177" s="29"/>
      <c r="DR177" s="29"/>
      <c r="DS177" s="22"/>
      <c r="DT177" s="22"/>
      <c r="DU177" s="22"/>
      <c r="DV177" s="22"/>
    </row>
    <row r="178" spans="61:126" x14ac:dyDescent="0.25">
      <c r="BI178" s="22"/>
      <c r="BJ178" s="22"/>
      <c r="BK178" s="22"/>
      <c r="BL178" s="22"/>
      <c r="BM178" s="66"/>
      <c r="BN178" s="66"/>
      <c r="BO178" s="23"/>
      <c r="BP178" s="23"/>
      <c r="BQ178" s="23"/>
      <c r="BR178" s="24"/>
      <c r="BS178" s="24"/>
      <c r="BT178" s="68"/>
      <c r="BU178" s="68"/>
      <c r="BV178" s="25"/>
      <c r="BW178" s="26"/>
      <c r="BX178" s="27"/>
      <c r="BY178" s="28"/>
      <c r="BZ178" s="28"/>
      <c r="CA178" s="28"/>
      <c r="CB178" s="28"/>
      <c r="CC178" s="28"/>
      <c r="CD178" s="28"/>
      <c r="CE178" s="28"/>
      <c r="CF178" s="28"/>
      <c r="CG178" s="28"/>
      <c r="CH178" s="28"/>
      <c r="CI178" s="28"/>
      <c r="CJ178" s="28"/>
      <c r="CK178" s="28"/>
      <c r="CL178" s="28"/>
      <c r="CM178" s="28"/>
      <c r="CN178" s="28"/>
      <c r="CO178" s="28"/>
      <c r="CP178" s="28"/>
      <c r="CQ178" s="28"/>
      <c r="CR178" s="28"/>
      <c r="CS178" s="28"/>
      <c r="CT178" s="28"/>
      <c r="CU178" s="28"/>
      <c r="CV178" s="28"/>
      <c r="CW178" s="28"/>
      <c r="CX178" s="28"/>
      <c r="CY178" s="28"/>
      <c r="CZ178" s="28"/>
      <c r="DA178" s="28"/>
      <c r="DB178" s="28"/>
      <c r="DC178" s="28"/>
      <c r="DD178" s="28"/>
      <c r="DE178" s="28"/>
      <c r="DF178" s="28"/>
      <c r="DG178" s="28"/>
      <c r="DH178" s="28"/>
      <c r="DI178" s="28"/>
      <c r="DJ178" s="28"/>
      <c r="DK178" s="29"/>
      <c r="DL178" s="29"/>
      <c r="DM178" s="29"/>
      <c r="DN178" s="29"/>
      <c r="DO178" s="29"/>
      <c r="DP178" s="29"/>
      <c r="DQ178" s="29"/>
      <c r="DR178" s="29"/>
      <c r="DS178" s="22"/>
      <c r="DT178" s="22"/>
      <c r="DU178" s="22"/>
      <c r="DV178" s="22"/>
    </row>
    <row r="179" spans="61:126" x14ac:dyDescent="0.25">
      <c r="BI179" s="22"/>
      <c r="BJ179" s="22"/>
      <c r="BK179" s="22"/>
      <c r="BL179" s="22"/>
      <c r="BM179" s="66"/>
      <c r="BN179" s="66"/>
      <c r="BO179" s="23"/>
      <c r="BP179" s="23"/>
      <c r="BQ179" s="23"/>
      <c r="BR179" s="24"/>
      <c r="BS179" s="24"/>
      <c r="BT179" s="68"/>
      <c r="BU179" s="68"/>
      <c r="BV179" s="25"/>
      <c r="BW179" s="26"/>
      <c r="BX179" s="27"/>
      <c r="BY179" s="28"/>
      <c r="BZ179" s="28"/>
      <c r="CA179" s="28"/>
      <c r="CB179" s="28"/>
      <c r="CC179" s="28"/>
      <c r="CD179" s="28"/>
      <c r="CE179" s="28"/>
      <c r="CF179" s="28"/>
      <c r="CG179" s="28"/>
      <c r="CH179" s="28"/>
      <c r="CI179" s="28"/>
      <c r="CJ179" s="28"/>
      <c r="CK179" s="28"/>
      <c r="CL179" s="28"/>
      <c r="CM179" s="28"/>
      <c r="CN179" s="28"/>
      <c r="CO179" s="28"/>
      <c r="CP179" s="28"/>
      <c r="CQ179" s="28"/>
      <c r="CR179" s="28"/>
      <c r="CS179" s="28"/>
      <c r="CT179" s="28"/>
      <c r="CU179" s="28"/>
      <c r="CV179" s="28"/>
      <c r="CW179" s="28"/>
      <c r="CX179" s="28"/>
      <c r="CY179" s="28"/>
      <c r="CZ179" s="28"/>
      <c r="DA179" s="28"/>
      <c r="DB179" s="28"/>
      <c r="DC179" s="28"/>
      <c r="DD179" s="28"/>
      <c r="DE179" s="28"/>
      <c r="DF179" s="28"/>
      <c r="DG179" s="28"/>
      <c r="DH179" s="28"/>
      <c r="DI179" s="28"/>
      <c r="DJ179" s="28"/>
      <c r="DK179" s="29"/>
      <c r="DL179" s="29"/>
      <c r="DM179" s="29"/>
      <c r="DN179" s="29"/>
      <c r="DO179" s="29"/>
      <c r="DP179" s="29"/>
      <c r="DQ179" s="29"/>
      <c r="DR179" s="29"/>
      <c r="DS179" s="22"/>
      <c r="DT179" s="22"/>
      <c r="DU179" s="22"/>
      <c r="DV179" s="22"/>
    </row>
    <row r="180" spans="61:126" x14ac:dyDescent="0.25">
      <c r="BI180" s="22"/>
      <c r="BJ180" s="22"/>
      <c r="BK180" s="22"/>
      <c r="BL180" s="22"/>
      <c r="BM180" s="66"/>
      <c r="BN180" s="66"/>
      <c r="BO180" s="23"/>
      <c r="BP180" s="23"/>
      <c r="BQ180" s="23"/>
      <c r="BR180" s="24"/>
      <c r="BS180" s="24"/>
      <c r="BT180" s="68"/>
      <c r="BU180" s="68"/>
      <c r="BV180" s="25"/>
      <c r="BW180" s="26"/>
      <c r="BX180" s="27"/>
      <c r="BY180" s="28"/>
      <c r="BZ180" s="28"/>
      <c r="CA180" s="28"/>
      <c r="CB180" s="28"/>
      <c r="CC180" s="28"/>
      <c r="CD180" s="28"/>
      <c r="CE180" s="28"/>
      <c r="CF180" s="28"/>
      <c r="CG180" s="28"/>
      <c r="CH180" s="28"/>
      <c r="CI180" s="28"/>
      <c r="CJ180" s="28"/>
      <c r="CK180" s="28"/>
      <c r="CL180" s="28"/>
      <c r="CM180" s="28"/>
      <c r="CN180" s="28"/>
      <c r="CO180" s="28"/>
      <c r="CP180" s="28"/>
      <c r="CQ180" s="28"/>
      <c r="CR180" s="28"/>
      <c r="CS180" s="28"/>
      <c r="CT180" s="28"/>
      <c r="CU180" s="28"/>
      <c r="CV180" s="28"/>
      <c r="CW180" s="28"/>
      <c r="CX180" s="28"/>
      <c r="CY180" s="28"/>
      <c r="CZ180" s="28"/>
      <c r="DA180" s="28"/>
      <c r="DB180" s="28"/>
      <c r="DC180" s="28"/>
      <c r="DD180" s="28"/>
      <c r="DE180" s="28"/>
      <c r="DF180" s="28"/>
      <c r="DG180" s="28"/>
      <c r="DH180" s="28"/>
      <c r="DI180" s="28"/>
      <c r="DJ180" s="28"/>
      <c r="DK180" s="29"/>
      <c r="DL180" s="29"/>
      <c r="DM180" s="29"/>
      <c r="DN180" s="29"/>
      <c r="DO180" s="29"/>
      <c r="DP180" s="29"/>
      <c r="DQ180" s="29"/>
      <c r="DR180" s="29"/>
      <c r="DS180" s="22"/>
      <c r="DT180" s="22"/>
      <c r="DU180" s="22"/>
      <c r="DV180" s="22"/>
    </row>
    <row r="181" spans="61:126" x14ac:dyDescent="0.25">
      <c r="BI181" s="22"/>
      <c r="BJ181" s="22"/>
      <c r="BK181" s="22"/>
      <c r="BL181" s="22"/>
      <c r="BM181" s="66"/>
      <c r="BN181" s="66"/>
      <c r="BO181" s="23"/>
      <c r="BP181" s="23"/>
      <c r="BQ181" s="23"/>
      <c r="BR181" s="24"/>
      <c r="BS181" s="24"/>
      <c r="BT181" s="68"/>
      <c r="BU181" s="68"/>
      <c r="BV181" s="25"/>
      <c r="BW181" s="26"/>
      <c r="BX181" s="27"/>
      <c r="BY181" s="28"/>
      <c r="BZ181" s="28"/>
      <c r="CA181" s="28"/>
      <c r="CB181" s="28"/>
      <c r="CC181" s="28"/>
      <c r="CD181" s="28"/>
      <c r="CE181" s="28"/>
      <c r="CF181" s="28"/>
      <c r="CG181" s="28"/>
      <c r="CH181" s="28"/>
      <c r="CI181" s="28"/>
      <c r="CJ181" s="28"/>
      <c r="CK181" s="28"/>
      <c r="CL181" s="28"/>
      <c r="CM181" s="28"/>
      <c r="CN181" s="28"/>
      <c r="CO181" s="28"/>
      <c r="CP181" s="28"/>
      <c r="CQ181" s="28"/>
      <c r="CR181" s="28"/>
      <c r="CS181" s="28"/>
      <c r="CT181" s="28"/>
      <c r="CU181" s="28"/>
      <c r="CV181" s="28"/>
      <c r="CW181" s="28"/>
      <c r="CX181" s="28"/>
      <c r="CY181" s="28"/>
      <c r="CZ181" s="28"/>
      <c r="DA181" s="28"/>
      <c r="DB181" s="28"/>
      <c r="DC181" s="28"/>
      <c r="DD181" s="28"/>
      <c r="DE181" s="28"/>
      <c r="DF181" s="28"/>
      <c r="DG181" s="28"/>
      <c r="DH181" s="28"/>
      <c r="DI181" s="28"/>
      <c r="DJ181" s="28"/>
      <c r="DK181" s="29"/>
      <c r="DL181" s="29"/>
      <c r="DM181" s="29"/>
      <c r="DN181" s="29"/>
      <c r="DO181" s="29"/>
      <c r="DP181" s="29"/>
      <c r="DQ181" s="29"/>
      <c r="DR181" s="29"/>
      <c r="DS181" s="22"/>
      <c r="DT181" s="22"/>
      <c r="DU181" s="22"/>
      <c r="DV181" s="22"/>
    </row>
    <row r="182" spans="61:126" x14ac:dyDescent="0.25">
      <c r="BI182" s="22"/>
      <c r="BJ182" s="22"/>
      <c r="BK182" s="22"/>
      <c r="BL182" s="22"/>
      <c r="BM182" s="66"/>
      <c r="BN182" s="66"/>
      <c r="BO182" s="23"/>
      <c r="BP182" s="23"/>
      <c r="BQ182" s="23"/>
      <c r="BR182" s="24"/>
      <c r="BS182" s="24"/>
      <c r="BT182" s="68"/>
      <c r="BU182" s="68"/>
      <c r="BV182" s="25"/>
      <c r="BW182" s="26"/>
      <c r="BX182" s="27"/>
      <c r="BY182" s="28"/>
      <c r="BZ182" s="28"/>
      <c r="CA182" s="28"/>
      <c r="CB182" s="28"/>
      <c r="CC182" s="28"/>
      <c r="CD182" s="28"/>
      <c r="CE182" s="28"/>
      <c r="CF182" s="28"/>
      <c r="CG182" s="28"/>
      <c r="CH182" s="28"/>
      <c r="CI182" s="28"/>
      <c r="CJ182" s="28"/>
      <c r="CK182" s="28"/>
      <c r="CL182" s="28"/>
      <c r="CM182" s="28"/>
      <c r="CN182" s="28"/>
      <c r="CO182" s="28"/>
      <c r="CP182" s="28"/>
      <c r="CQ182" s="28"/>
      <c r="CR182" s="28"/>
      <c r="CS182" s="28"/>
      <c r="CT182" s="28"/>
      <c r="CU182" s="28"/>
      <c r="CV182" s="28"/>
      <c r="CW182" s="28"/>
      <c r="CX182" s="28"/>
      <c r="CY182" s="28"/>
      <c r="CZ182" s="28"/>
      <c r="DA182" s="28"/>
      <c r="DB182" s="28"/>
      <c r="DC182" s="28"/>
      <c r="DD182" s="28"/>
      <c r="DE182" s="28"/>
      <c r="DF182" s="28"/>
      <c r="DG182" s="28"/>
      <c r="DH182" s="28"/>
      <c r="DI182" s="28"/>
      <c r="DJ182" s="28"/>
      <c r="DK182" s="29"/>
      <c r="DL182" s="29"/>
      <c r="DM182" s="29"/>
      <c r="DN182" s="29"/>
      <c r="DO182" s="29"/>
      <c r="DP182" s="29"/>
      <c r="DQ182" s="29"/>
      <c r="DR182" s="29"/>
      <c r="DS182" s="22"/>
      <c r="DT182" s="22"/>
      <c r="DU182" s="22"/>
      <c r="DV182" s="22"/>
    </row>
    <row r="183" spans="61:126" x14ac:dyDescent="0.25">
      <c r="BI183" s="22"/>
      <c r="BJ183" s="22"/>
      <c r="BK183" s="22"/>
      <c r="BL183" s="22"/>
      <c r="BM183" s="66"/>
      <c r="BN183" s="66"/>
      <c r="BO183" s="23"/>
      <c r="BP183" s="23"/>
      <c r="BQ183" s="23"/>
      <c r="BR183" s="24"/>
      <c r="BS183" s="24"/>
      <c r="BT183" s="68"/>
      <c r="BU183" s="68"/>
      <c r="BV183" s="25"/>
      <c r="BW183" s="26"/>
      <c r="BX183" s="27"/>
      <c r="BY183" s="28"/>
      <c r="BZ183" s="28"/>
      <c r="CA183" s="28"/>
      <c r="CB183" s="28"/>
      <c r="CC183" s="28"/>
      <c r="CD183" s="28"/>
      <c r="CE183" s="28"/>
      <c r="CF183" s="28"/>
      <c r="CG183" s="28"/>
      <c r="CH183" s="28"/>
      <c r="CI183" s="28"/>
      <c r="CJ183" s="28"/>
      <c r="CK183" s="28"/>
      <c r="CL183" s="28"/>
      <c r="CM183" s="28"/>
      <c r="CN183" s="28"/>
      <c r="CO183" s="28"/>
      <c r="CP183" s="28"/>
      <c r="CQ183" s="28"/>
      <c r="CR183" s="28"/>
      <c r="CS183" s="28"/>
      <c r="CT183" s="28"/>
      <c r="CU183" s="28"/>
      <c r="CV183" s="28"/>
      <c r="CW183" s="28"/>
      <c r="CX183" s="28"/>
      <c r="CY183" s="28"/>
      <c r="CZ183" s="28"/>
      <c r="DA183" s="28"/>
      <c r="DB183" s="28"/>
      <c r="DC183" s="28"/>
      <c r="DD183" s="28"/>
      <c r="DE183" s="28"/>
      <c r="DF183" s="28"/>
      <c r="DG183" s="28"/>
      <c r="DH183" s="28"/>
      <c r="DI183" s="28"/>
      <c r="DJ183" s="28"/>
      <c r="DK183" s="29"/>
      <c r="DL183" s="29"/>
      <c r="DM183" s="29"/>
      <c r="DN183" s="29"/>
      <c r="DO183" s="29"/>
      <c r="DP183" s="29"/>
      <c r="DQ183" s="29"/>
      <c r="DR183" s="29"/>
      <c r="DS183" s="22"/>
      <c r="DT183" s="22"/>
      <c r="DU183" s="22"/>
      <c r="DV183" s="22"/>
    </row>
    <row r="184" spans="61:126" x14ac:dyDescent="0.25">
      <c r="BI184" s="22"/>
      <c r="BJ184" s="22"/>
      <c r="BK184" s="22"/>
      <c r="BL184" s="22"/>
      <c r="BM184" s="66"/>
      <c r="BN184" s="66"/>
      <c r="BO184" s="23"/>
      <c r="BP184" s="23"/>
      <c r="BQ184" s="23"/>
      <c r="BR184" s="24"/>
      <c r="BS184" s="24"/>
      <c r="BT184" s="68"/>
      <c r="BU184" s="68"/>
      <c r="BV184" s="25"/>
      <c r="BW184" s="26"/>
      <c r="BX184" s="27"/>
      <c r="BY184" s="28"/>
      <c r="BZ184" s="28"/>
      <c r="CA184" s="28"/>
      <c r="CB184" s="28"/>
      <c r="CC184" s="28"/>
      <c r="CD184" s="28"/>
      <c r="CE184" s="28"/>
      <c r="CF184" s="28"/>
      <c r="CG184" s="28"/>
      <c r="CH184" s="28"/>
      <c r="CI184" s="28"/>
      <c r="CJ184" s="28"/>
      <c r="CK184" s="28"/>
      <c r="CL184" s="28"/>
      <c r="CM184" s="28"/>
      <c r="CN184" s="28"/>
      <c r="CO184" s="28"/>
      <c r="CP184" s="28"/>
      <c r="CQ184" s="28"/>
      <c r="CR184" s="28"/>
      <c r="CS184" s="28"/>
      <c r="CT184" s="28"/>
      <c r="CU184" s="28"/>
      <c r="CV184" s="28"/>
      <c r="CW184" s="28"/>
      <c r="CX184" s="28"/>
      <c r="CY184" s="28"/>
      <c r="CZ184" s="28"/>
      <c r="DA184" s="28"/>
      <c r="DB184" s="28"/>
      <c r="DC184" s="28"/>
      <c r="DD184" s="28"/>
      <c r="DE184" s="28"/>
      <c r="DF184" s="28"/>
      <c r="DG184" s="28"/>
      <c r="DH184" s="28"/>
      <c r="DI184" s="28"/>
      <c r="DJ184" s="28"/>
      <c r="DK184" s="29"/>
      <c r="DL184" s="29"/>
      <c r="DM184" s="29"/>
      <c r="DN184" s="29"/>
      <c r="DO184" s="29"/>
      <c r="DP184" s="29"/>
      <c r="DQ184" s="29"/>
      <c r="DR184" s="29"/>
      <c r="DS184" s="22"/>
      <c r="DT184" s="22"/>
      <c r="DU184" s="22"/>
      <c r="DV184" s="22"/>
    </row>
    <row r="185" spans="61:126" x14ac:dyDescent="0.25">
      <c r="BI185" s="22"/>
      <c r="BJ185" s="22"/>
      <c r="BK185" s="22"/>
      <c r="BL185" s="22"/>
      <c r="BM185" s="66"/>
      <c r="BN185" s="66"/>
      <c r="BO185" s="23"/>
      <c r="BP185" s="23"/>
      <c r="BQ185" s="23"/>
      <c r="BR185" s="24"/>
      <c r="BS185" s="24"/>
      <c r="BT185" s="68"/>
      <c r="BU185" s="68"/>
      <c r="BV185" s="25"/>
      <c r="BW185" s="26"/>
      <c r="BX185" s="27"/>
      <c r="BY185" s="28"/>
      <c r="BZ185" s="28"/>
      <c r="CA185" s="28"/>
      <c r="CB185" s="28"/>
      <c r="CC185" s="28"/>
      <c r="CD185" s="28"/>
      <c r="CE185" s="28"/>
      <c r="CF185" s="28"/>
      <c r="CG185" s="28"/>
      <c r="CH185" s="28"/>
      <c r="CI185" s="28"/>
      <c r="CJ185" s="28"/>
      <c r="CK185" s="28"/>
      <c r="CL185" s="28"/>
      <c r="CM185" s="28"/>
      <c r="CN185" s="28"/>
      <c r="CO185" s="28"/>
      <c r="CP185" s="28"/>
      <c r="CQ185" s="28"/>
      <c r="CR185" s="28"/>
      <c r="CS185" s="28"/>
      <c r="CT185" s="28"/>
      <c r="CU185" s="28"/>
      <c r="CV185" s="28"/>
      <c r="CW185" s="28"/>
      <c r="CX185" s="28"/>
      <c r="CY185" s="28"/>
      <c r="CZ185" s="28"/>
      <c r="DA185" s="28"/>
      <c r="DB185" s="28"/>
      <c r="DC185" s="28"/>
      <c r="DD185" s="28"/>
      <c r="DE185" s="28"/>
      <c r="DF185" s="28"/>
      <c r="DG185" s="28"/>
      <c r="DH185" s="28"/>
      <c r="DI185" s="28"/>
      <c r="DJ185" s="28"/>
      <c r="DK185" s="29"/>
      <c r="DL185" s="29"/>
      <c r="DM185" s="29"/>
      <c r="DN185" s="29"/>
      <c r="DO185" s="29"/>
      <c r="DP185" s="29"/>
      <c r="DQ185" s="29"/>
      <c r="DR185" s="29"/>
      <c r="DS185" s="22"/>
      <c r="DT185" s="22"/>
      <c r="DU185" s="22"/>
      <c r="DV185" s="22"/>
    </row>
    <row r="186" spans="61:126" x14ac:dyDescent="0.25">
      <c r="BI186" s="22"/>
      <c r="BJ186" s="22"/>
      <c r="BK186" s="22"/>
      <c r="BL186" s="22"/>
      <c r="BM186" s="66"/>
      <c r="BN186" s="66"/>
      <c r="BO186" s="23"/>
      <c r="BP186" s="23"/>
      <c r="BQ186" s="23"/>
      <c r="BR186" s="24"/>
      <c r="BS186" s="24"/>
      <c r="BT186" s="68"/>
      <c r="BU186" s="68"/>
      <c r="BV186" s="25"/>
      <c r="BW186" s="26"/>
      <c r="BX186" s="27"/>
      <c r="BY186" s="28"/>
      <c r="BZ186" s="28"/>
      <c r="CA186" s="28"/>
      <c r="CB186" s="28"/>
      <c r="CC186" s="28"/>
      <c r="CD186" s="28"/>
      <c r="CE186" s="28"/>
      <c r="CF186" s="28"/>
      <c r="CG186" s="28"/>
      <c r="CH186" s="28"/>
      <c r="CI186" s="28"/>
      <c r="CJ186" s="28"/>
      <c r="CK186" s="28"/>
      <c r="CL186" s="28"/>
      <c r="CM186" s="28"/>
      <c r="CN186" s="28"/>
      <c r="CO186" s="28"/>
      <c r="CP186" s="28"/>
      <c r="CQ186" s="28"/>
      <c r="CR186" s="28"/>
      <c r="CS186" s="28"/>
      <c r="CT186" s="28"/>
      <c r="CU186" s="28"/>
      <c r="CV186" s="28"/>
      <c r="CW186" s="28"/>
      <c r="CX186" s="28"/>
      <c r="CY186" s="28"/>
      <c r="CZ186" s="28"/>
      <c r="DA186" s="28"/>
      <c r="DB186" s="28"/>
      <c r="DC186" s="28"/>
      <c r="DD186" s="28"/>
      <c r="DE186" s="28"/>
      <c r="DF186" s="28"/>
      <c r="DG186" s="28"/>
      <c r="DH186" s="28"/>
      <c r="DI186" s="28"/>
      <c r="DJ186" s="28"/>
      <c r="DK186" s="29"/>
      <c r="DL186" s="29"/>
      <c r="DM186" s="29"/>
      <c r="DN186" s="29"/>
      <c r="DO186" s="29"/>
      <c r="DP186" s="29"/>
      <c r="DQ186" s="29"/>
      <c r="DR186" s="29"/>
      <c r="DS186" s="22"/>
      <c r="DT186" s="22"/>
      <c r="DU186" s="22"/>
      <c r="DV186" s="22"/>
    </row>
    <row r="187" spans="61:126" x14ac:dyDescent="0.25">
      <c r="BI187" s="22"/>
      <c r="BJ187" s="22"/>
      <c r="BK187" s="22"/>
      <c r="BL187" s="22"/>
      <c r="BM187" s="66"/>
      <c r="BN187" s="66"/>
      <c r="BO187" s="23"/>
      <c r="BP187" s="23"/>
      <c r="BQ187" s="23"/>
      <c r="BR187" s="24"/>
      <c r="BS187" s="24"/>
      <c r="BT187" s="68"/>
      <c r="BU187" s="68"/>
      <c r="BV187" s="25"/>
      <c r="BW187" s="26"/>
      <c r="BX187" s="27"/>
      <c r="BY187" s="28"/>
      <c r="BZ187" s="28"/>
      <c r="CA187" s="28"/>
      <c r="CB187" s="28"/>
      <c r="CC187" s="28"/>
      <c r="CD187" s="28"/>
      <c r="CE187" s="28"/>
      <c r="CF187" s="28"/>
      <c r="CG187" s="28"/>
      <c r="CH187" s="28"/>
      <c r="CI187" s="28"/>
      <c r="CJ187" s="28"/>
      <c r="CK187" s="28"/>
      <c r="CL187" s="28"/>
      <c r="CM187" s="28"/>
      <c r="CN187" s="28"/>
      <c r="CO187" s="28"/>
      <c r="CP187" s="28"/>
      <c r="CQ187" s="28"/>
      <c r="CR187" s="28"/>
      <c r="CS187" s="28"/>
      <c r="CT187" s="28"/>
      <c r="CU187" s="28"/>
      <c r="CV187" s="28"/>
      <c r="CW187" s="28"/>
      <c r="CX187" s="28"/>
      <c r="CY187" s="28"/>
      <c r="CZ187" s="28"/>
      <c r="DA187" s="28"/>
      <c r="DB187" s="28"/>
      <c r="DC187" s="28"/>
      <c r="DD187" s="28"/>
      <c r="DE187" s="28"/>
      <c r="DF187" s="28"/>
      <c r="DG187" s="28"/>
      <c r="DH187" s="28"/>
      <c r="DI187" s="28"/>
      <c r="DJ187" s="28"/>
      <c r="DK187" s="29"/>
      <c r="DL187" s="29"/>
      <c r="DM187" s="29"/>
      <c r="DN187" s="29"/>
      <c r="DO187" s="29"/>
      <c r="DP187" s="29"/>
      <c r="DQ187" s="29"/>
      <c r="DR187" s="29"/>
      <c r="DS187" s="22"/>
      <c r="DT187" s="22"/>
      <c r="DU187" s="22"/>
      <c r="DV187" s="22"/>
    </row>
    <row r="188" spans="61:126" x14ac:dyDescent="0.25">
      <c r="BI188" s="22"/>
      <c r="BJ188" s="22"/>
      <c r="BK188" s="22"/>
      <c r="BL188" s="22"/>
      <c r="BM188" s="66"/>
      <c r="BN188" s="66"/>
      <c r="BO188" s="23"/>
      <c r="BP188" s="23"/>
      <c r="BQ188" s="23"/>
      <c r="BR188" s="24"/>
      <c r="BS188" s="24"/>
      <c r="BT188" s="68"/>
      <c r="BU188" s="68"/>
      <c r="BV188" s="25"/>
      <c r="BW188" s="26"/>
      <c r="BX188" s="27"/>
      <c r="BY188" s="28"/>
      <c r="BZ188" s="28"/>
      <c r="CA188" s="28"/>
      <c r="CB188" s="28"/>
      <c r="CC188" s="28"/>
      <c r="CD188" s="28"/>
      <c r="CE188" s="28"/>
      <c r="CF188" s="28"/>
      <c r="CG188" s="28"/>
      <c r="CH188" s="28"/>
      <c r="CI188" s="28"/>
      <c r="CJ188" s="28"/>
      <c r="CK188" s="28"/>
      <c r="CL188" s="28"/>
      <c r="CM188" s="28"/>
      <c r="CN188" s="28"/>
      <c r="CO188" s="28"/>
      <c r="CP188" s="28"/>
      <c r="CQ188" s="28"/>
      <c r="CR188" s="28"/>
      <c r="CS188" s="28"/>
      <c r="CT188" s="28"/>
      <c r="CU188" s="28"/>
      <c r="CV188" s="28"/>
      <c r="CW188" s="28"/>
      <c r="CX188" s="28"/>
      <c r="CY188" s="28"/>
      <c r="CZ188" s="28"/>
      <c r="DA188" s="28"/>
      <c r="DB188" s="28"/>
      <c r="DC188" s="28"/>
      <c r="DD188" s="28"/>
      <c r="DE188" s="28"/>
      <c r="DF188" s="28"/>
      <c r="DG188" s="28"/>
      <c r="DH188" s="28"/>
      <c r="DI188" s="28"/>
      <c r="DJ188" s="28"/>
      <c r="DK188" s="29"/>
      <c r="DL188" s="29"/>
      <c r="DM188" s="29"/>
      <c r="DN188" s="29"/>
      <c r="DO188" s="29"/>
      <c r="DP188" s="29"/>
      <c r="DQ188" s="29"/>
      <c r="DR188" s="29"/>
      <c r="DS188" s="22"/>
      <c r="DT188" s="22"/>
      <c r="DU188" s="22"/>
      <c r="DV188" s="22"/>
    </row>
    <row r="189" spans="61:126" x14ac:dyDescent="0.25">
      <c r="BI189" s="22"/>
      <c r="BJ189" s="22"/>
      <c r="BK189" s="22"/>
      <c r="BL189" s="22"/>
      <c r="BM189" s="66"/>
      <c r="BN189" s="66"/>
      <c r="BO189" s="23"/>
      <c r="BP189" s="23"/>
      <c r="BQ189" s="23"/>
      <c r="BR189" s="24"/>
      <c r="BS189" s="24"/>
      <c r="BT189" s="68"/>
      <c r="BU189" s="68"/>
      <c r="BV189" s="25"/>
      <c r="BW189" s="26"/>
      <c r="BX189" s="27"/>
      <c r="BY189" s="28"/>
      <c r="BZ189" s="28"/>
      <c r="CA189" s="28"/>
      <c r="CB189" s="28"/>
      <c r="CC189" s="28"/>
      <c r="CD189" s="28"/>
      <c r="CE189" s="28"/>
      <c r="CF189" s="28"/>
      <c r="CG189" s="28"/>
      <c r="CH189" s="28"/>
      <c r="CI189" s="28"/>
      <c r="CJ189" s="28"/>
      <c r="CK189" s="28"/>
      <c r="CL189" s="28"/>
      <c r="CM189" s="28"/>
      <c r="CN189" s="28"/>
      <c r="CO189" s="28"/>
      <c r="CP189" s="28"/>
      <c r="CQ189" s="28"/>
      <c r="CR189" s="28"/>
      <c r="CS189" s="28"/>
      <c r="CT189" s="28"/>
      <c r="CU189" s="28"/>
      <c r="CV189" s="28"/>
      <c r="CW189" s="28"/>
      <c r="CX189" s="28"/>
      <c r="CY189" s="28"/>
      <c r="CZ189" s="28"/>
      <c r="DA189" s="28"/>
      <c r="DB189" s="28"/>
      <c r="DC189" s="28"/>
      <c r="DD189" s="28"/>
      <c r="DE189" s="28"/>
      <c r="DF189" s="28"/>
      <c r="DG189" s="28"/>
      <c r="DH189" s="28"/>
      <c r="DI189" s="28"/>
      <c r="DJ189" s="28"/>
      <c r="DK189" s="29"/>
      <c r="DL189" s="29"/>
      <c r="DM189" s="29"/>
      <c r="DN189" s="29"/>
      <c r="DO189" s="29"/>
      <c r="DP189" s="29"/>
      <c r="DQ189" s="29"/>
      <c r="DR189" s="29"/>
      <c r="DS189" s="22"/>
      <c r="DT189" s="22"/>
      <c r="DU189" s="22"/>
      <c r="DV189" s="22"/>
    </row>
    <row r="190" spans="61:126" x14ac:dyDescent="0.25">
      <c r="BI190" s="22"/>
      <c r="BJ190" s="22"/>
      <c r="BK190" s="22"/>
      <c r="BL190" s="22"/>
      <c r="BM190" s="66"/>
      <c r="BN190" s="66"/>
      <c r="BO190" s="23"/>
      <c r="BP190" s="23"/>
      <c r="BQ190" s="23"/>
      <c r="BR190" s="24"/>
      <c r="BS190" s="24"/>
      <c r="BT190" s="68"/>
      <c r="BU190" s="68"/>
      <c r="BV190" s="25"/>
      <c r="BW190" s="26"/>
      <c r="BX190" s="27"/>
      <c r="BY190" s="28"/>
      <c r="BZ190" s="28"/>
      <c r="CA190" s="28"/>
      <c r="CB190" s="28"/>
      <c r="CC190" s="28"/>
      <c r="CD190" s="28"/>
      <c r="CE190" s="28"/>
      <c r="CF190" s="28"/>
      <c r="CG190" s="28"/>
      <c r="CH190" s="28"/>
      <c r="CI190" s="28"/>
      <c r="CJ190" s="28"/>
      <c r="CK190" s="28"/>
      <c r="CL190" s="28"/>
      <c r="CM190" s="28"/>
      <c r="CN190" s="28"/>
      <c r="CO190" s="28"/>
      <c r="CP190" s="28"/>
      <c r="CQ190" s="28"/>
      <c r="CR190" s="28"/>
      <c r="CS190" s="28"/>
      <c r="CT190" s="28"/>
      <c r="CU190" s="28"/>
      <c r="CV190" s="28"/>
      <c r="CW190" s="28"/>
      <c r="CX190" s="28"/>
      <c r="CY190" s="28"/>
      <c r="CZ190" s="28"/>
      <c r="DA190" s="28"/>
      <c r="DB190" s="28"/>
      <c r="DC190" s="28"/>
      <c r="DD190" s="28"/>
      <c r="DE190" s="28"/>
      <c r="DF190" s="28"/>
      <c r="DG190" s="28"/>
      <c r="DH190" s="28"/>
      <c r="DI190" s="28"/>
      <c r="DJ190" s="28"/>
      <c r="DK190" s="29"/>
      <c r="DL190" s="29"/>
      <c r="DM190" s="29"/>
      <c r="DN190" s="29"/>
      <c r="DO190" s="29"/>
      <c r="DP190" s="29"/>
      <c r="DQ190" s="29"/>
      <c r="DR190" s="29"/>
      <c r="DS190" s="22"/>
      <c r="DT190" s="22"/>
      <c r="DU190" s="22"/>
      <c r="DV190" s="22"/>
    </row>
    <row r="191" spans="61:126" x14ac:dyDescent="0.25">
      <c r="BI191" s="22"/>
      <c r="BJ191" s="22"/>
      <c r="BK191" s="22"/>
      <c r="BL191" s="22"/>
      <c r="BM191" s="66"/>
      <c r="BN191" s="66"/>
      <c r="BO191" s="23"/>
      <c r="BP191" s="23"/>
      <c r="BQ191" s="23"/>
      <c r="BR191" s="24"/>
      <c r="BS191" s="24"/>
      <c r="BT191" s="68"/>
      <c r="BU191" s="68"/>
      <c r="BV191" s="25"/>
      <c r="BW191" s="26"/>
      <c r="BX191" s="27"/>
      <c r="BY191" s="28"/>
      <c r="BZ191" s="28"/>
      <c r="CA191" s="28"/>
      <c r="CB191" s="28"/>
      <c r="CC191" s="28"/>
      <c r="CD191" s="28"/>
      <c r="CE191" s="28"/>
      <c r="CF191" s="28"/>
      <c r="CG191" s="28"/>
      <c r="CH191" s="28"/>
      <c r="CI191" s="28"/>
      <c r="CJ191" s="28"/>
      <c r="CK191" s="28"/>
      <c r="CL191" s="28"/>
      <c r="CM191" s="28"/>
      <c r="CN191" s="28"/>
      <c r="CO191" s="28"/>
      <c r="CP191" s="28"/>
      <c r="CQ191" s="28"/>
      <c r="CR191" s="28"/>
      <c r="CS191" s="28"/>
      <c r="CT191" s="28"/>
      <c r="CU191" s="28"/>
      <c r="CV191" s="28"/>
      <c r="CW191" s="28"/>
      <c r="CX191" s="28"/>
      <c r="CY191" s="28"/>
      <c r="CZ191" s="28"/>
      <c r="DA191" s="28"/>
      <c r="DB191" s="28"/>
      <c r="DC191" s="28"/>
      <c r="DD191" s="28"/>
      <c r="DE191" s="28"/>
      <c r="DF191" s="28"/>
      <c r="DG191" s="28"/>
      <c r="DH191" s="28"/>
      <c r="DI191" s="28"/>
      <c r="DJ191" s="28"/>
      <c r="DK191" s="29"/>
      <c r="DL191" s="29"/>
      <c r="DM191" s="29"/>
      <c r="DN191" s="29"/>
      <c r="DO191" s="29"/>
      <c r="DP191" s="29"/>
      <c r="DQ191" s="29"/>
      <c r="DR191" s="29"/>
      <c r="DS191" s="22"/>
      <c r="DT191" s="22"/>
      <c r="DU191" s="22"/>
      <c r="DV191" s="22"/>
    </row>
    <row r="192" spans="61:126" x14ac:dyDescent="0.25">
      <c r="BI192" s="22"/>
      <c r="BJ192" s="22"/>
      <c r="BK192" s="22"/>
      <c r="BL192" s="22"/>
      <c r="BM192" s="66"/>
      <c r="BN192" s="66"/>
      <c r="BO192" s="23"/>
      <c r="BP192" s="23"/>
      <c r="BQ192" s="23"/>
      <c r="BR192" s="24"/>
      <c r="BS192" s="24"/>
      <c r="BT192" s="68"/>
      <c r="BU192" s="68"/>
      <c r="BV192" s="25"/>
      <c r="BW192" s="26"/>
      <c r="BX192" s="27"/>
      <c r="BY192" s="28"/>
      <c r="BZ192" s="28"/>
      <c r="CA192" s="28"/>
      <c r="CB192" s="28"/>
      <c r="CC192" s="28"/>
      <c r="CD192" s="28"/>
      <c r="CE192" s="28"/>
      <c r="CF192" s="28"/>
      <c r="CG192" s="28"/>
      <c r="CH192" s="28"/>
      <c r="CI192" s="28"/>
      <c r="CJ192" s="28"/>
      <c r="CK192" s="28"/>
      <c r="CL192" s="28"/>
      <c r="CM192" s="28"/>
      <c r="CN192" s="28"/>
      <c r="CO192" s="28"/>
      <c r="CP192" s="28"/>
      <c r="CQ192" s="28"/>
      <c r="CR192" s="28"/>
      <c r="CS192" s="28"/>
      <c r="CT192" s="28"/>
      <c r="CU192" s="28"/>
      <c r="CV192" s="28"/>
      <c r="CW192" s="28"/>
      <c r="CX192" s="28"/>
      <c r="CY192" s="28"/>
      <c r="CZ192" s="28"/>
      <c r="DA192" s="28"/>
      <c r="DB192" s="28"/>
      <c r="DC192" s="28"/>
      <c r="DD192" s="28"/>
      <c r="DE192" s="28"/>
      <c r="DF192" s="28"/>
      <c r="DG192" s="28"/>
      <c r="DH192" s="28"/>
      <c r="DI192" s="28"/>
      <c r="DJ192" s="28"/>
      <c r="DK192" s="29"/>
      <c r="DL192" s="29"/>
      <c r="DM192" s="29"/>
      <c r="DN192" s="29"/>
      <c r="DO192" s="29"/>
      <c r="DP192" s="29"/>
      <c r="DQ192" s="29"/>
      <c r="DR192" s="29"/>
      <c r="DS192" s="22"/>
      <c r="DT192" s="22"/>
      <c r="DU192" s="22"/>
      <c r="DV192" s="22"/>
    </row>
    <row r="193" spans="61:126" x14ac:dyDescent="0.25">
      <c r="BI193" s="22"/>
      <c r="BJ193" s="22"/>
      <c r="BK193" s="22"/>
      <c r="BL193" s="22"/>
      <c r="BM193" s="66"/>
      <c r="BN193" s="66"/>
      <c r="BO193" s="23"/>
      <c r="BP193" s="23"/>
      <c r="BQ193" s="23"/>
      <c r="BR193" s="24"/>
      <c r="BS193" s="24"/>
      <c r="BT193" s="68"/>
      <c r="BU193" s="68"/>
      <c r="BV193" s="25"/>
      <c r="BW193" s="26"/>
      <c r="BX193" s="27"/>
      <c r="BY193" s="28"/>
      <c r="BZ193" s="28"/>
      <c r="CA193" s="28"/>
      <c r="CB193" s="28"/>
      <c r="CC193" s="28"/>
      <c r="CD193" s="28"/>
      <c r="CE193" s="28"/>
      <c r="CF193" s="28"/>
      <c r="CG193" s="28"/>
      <c r="CH193" s="28"/>
      <c r="CI193" s="28"/>
      <c r="CJ193" s="28"/>
      <c r="CK193" s="28"/>
      <c r="CL193" s="28"/>
      <c r="CM193" s="28"/>
      <c r="CN193" s="28"/>
      <c r="CO193" s="28"/>
      <c r="CP193" s="28"/>
      <c r="CQ193" s="28"/>
      <c r="CR193" s="28"/>
      <c r="CS193" s="28"/>
      <c r="CT193" s="28"/>
      <c r="CU193" s="28"/>
      <c r="CV193" s="28"/>
      <c r="CW193" s="28"/>
      <c r="CX193" s="28"/>
      <c r="CY193" s="28"/>
      <c r="CZ193" s="28"/>
      <c r="DA193" s="28"/>
      <c r="DB193" s="28"/>
      <c r="DC193" s="28"/>
      <c r="DD193" s="28"/>
      <c r="DE193" s="28"/>
      <c r="DF193" s="28"/>
      <c r="DG193" s="28"/>
      <c r="DH193" s="28"/>
      <c r="DI193" s="28"/>
      <c r="DJ193" s="28"/>
      <c r="DK193" s="29"/>
      <c r="DL193" s="29"/>
      <c r="DM193" s="29"/>
      <c r="DN193" s="29"/>
      <c r="DO193" s="29"/>
      <c r="DP193" s="29"/>
      <c r="DQ193" s="29"/>
      <c r="DR193" s="29"/>
      <c r="DS193" s="22"/>
      <c r="DT193" s="22"/>
      <c r="DU193" s="22"/>
      <c r="DV193" s="22"/>
    </row>
    <row r="194" spans="61:126" x14ac:dyDescent="0.25">
      <c r="BI194" s="22"/>
      <c r="BJ194" s="22"/>
      <c r="BK194" s="22"/>
      <c r="BL194" s="22"/>
      <c r="BM194" s="66"/>
      <c r="BN194" s="66"/>
      <c r="BO194" s="23"/>
      <c r="BP194" s="23"/>
      <c r="BQ194" s="23"/>
      <c r="BR194" s="24"/>
      <c r="BS194" s="24"/>
      <c r="BT194" s="68"/>
      <c r="BU194" s="68"/>
      <c r="BV194" s="25"/>
      <c r="BW194" s="26"/>
      <c r="BX194" s="27"/>
      <c r="BY194" s="28"/>
      <c r="BZ194" s="28"/>
      <c r="CA194" s="28"/>
      <c r="CB194" s="28"/>
      <c r="CC194" s="28"/>
      <c r="CD194" s="28"/>
      <c r="CE194" s="28"/>
      <c r="CF194" s="28"/>
      <c r="CG194" s="28"/>
      <c r="CH194" s="28"/>
      <c r="CI194" s="28"/>
      <c r="CJ194" s="28"/>
      <c r="CK194" s="28"/>
      <c r="CL194" s="28"/>
      <c r="CM194" s="28"/>
      <c r="CN194" s="28"/>
      <c r="CO194" s="28"/>
      <c r="CP194" s="28"/>
      <c r="CQ194" s="28"/>
      <c r="CR194" s="28"/>
      <c r="CS194" s="28"/>
      <c r="CT194" s="28"/>
      <c r="CU194" s="28"/>
      <c r="CV194" s="28"/>
      <c r="CW194" s="28"/>
      <c r="CX194" s="28"/>
      <c r="CY194" s="28"/>
      <c r="CZ194" s="28"/>
      <c r="DA194" s="28"/>
      <c r="DB194" s="28"/>
      <c r="DC194" s="28"/>
      <c r="DD194" s="28"/>
      <c r="DE194" s="28"/>
      <c r="DF194" s="28"/>
      <c r="DG194" s="28"/>
      <c r="DH194" s="28"/>
      <c r="DI194" s="28"/>
      <c r="DJ194" s="28"/>
      <c r="DK194" s="29"/>
      <c r="DL194" s="29"/>
      <c r="DM194" s="29"/>
      <c r="DN194" s="29"/>
      <c r="DO194" s="29"/>
      <c r="DP194" s="29"/>
      <c r="DQ194" s="29"/>
      <c r="DR194" s="29"/>
      <c r="DS194" s="22"/>
      <c r="DT194" s="22"/>
      <c r="DU194" s="22"/>
      <c r="DV194" s="22"/>
    </row>
    <row r="195" spans="61:126" x14ac:dyDescent="0.25">
      <c r="BI195" s="22"/>
      <c r="BJ195" s="22"/>
      <c r="BK195" s="22"/>
      <c r="BL195" s="22"/>
      <c r="BM195" s="66"/>
      <c r="BN195" s="66"/>
      <c r="BO195" s="23"/>
      <c r="BP195" s="23"/>
      <c r="BQ195" s="23"/>
      <c r="BR195" s="24"/>
      <c r="BS195" s="24"/>
      <c r="BT195" s="68"/>
      <c r="BU195" s="68"/>
      <c r="BV195" s="25"/>
      <c r="BW195" s="26"/>
      <c r="BX195" s="27"/>
      <c r="BY195" s="28"/>
      <c r="BZ195" s="28"/>
      <c r="CA195" s="28"/>
      <c r="CB195" s="28"/>
      <c r="CC195" s="28"/>
      <c r="CD195" s="28"/>
      <c r="CE195" s="28"/>
      <c r="CF195" s="28"/>
      <c r="CG195" s="28"/>
      <c r="CH195" s="28"/>
      <c r="CI195" s="28"/>
      <c r="CJ195" s="28"/>
      <c r="CK195" s="28"/>
      <c r="CL195" s="28"/>
      <c r="CM195" s="28"/>
      <c r="CN195" s="28"/>
      <c r="CO195" s="28"/>
      <c r="CP195" s="28"/>
      <c r="CQ195" s="28"/>
      <c r="CR195" s="28"/>
      <c r="CS195" s="28"/>
      <c r="CT195" s="28"/>
      <c r="CU195" s="28"/>
      <c r="CV195" s="28"/>
      <c r="CW195" s="28"/>
      <c r="CX195" s="28"/>
      <c r="CY195" s="28"/>
      <c r="CZ195" s="28"/>
      <c r="DA195" s="28"/>
      <c r="DB195" s="28"/>
      <c r="DC195" s="28"/>
      <c r="DD195" s="28"/>
      <c r="DE195" s="28"/>
      <c r="DF195" s="28"/>
      <c r="DG195" s="28"/>
      <c r="DH195" s="28"/>
      <c r="DI195" s="28"/>
      <c r="DJ195" s="28"/>
      <c r="DK195" s="29"/>
      <c r="DL195" s="29"/>
      <c r="DM195" s="29"/>
      <c r="DN195" s="29"/>
      <c r="DO195" s="29"/>
      <c r="DP195" s="29"/>
      <c r="DQ195" s="29"/>
      <c r="DR195" s="29"/>
      <c r="DS195" s="22"/>
      <c r="DT195" s="22"/>
      <c r="DU195" s="22"/>
      <c r="DV195" s="22"/>
    </row>
    <row r="196" spans="61:126" x14ac:dyDescent="0.25">
      <c r="BI196" s="22"/>
      <c r="BJ196" s="22"/>
      <c r="BK196" s="22"/>
      <c r="BL196" s="22"/>
      <c r="BM196" s="66"/>
      <c r="BN196" s="66"/>
      <c r="BO196" s="23"/>
      <c r="BP196" s="23"/>
      <c r="BQ196" s="23"/>
      <c r="BR196" s="24"/>
      <c r="BS196" s="24"/>
      <c r="BT196" s="68"/>
      <c r="BU196" s="68"/>
      <c r="BV196" s="25"/>
      <c r="BW196" s="26"/>
      <c r="BX196" s="27"/>
      <c r="BY196" s="28"/>
      <c r="BZ196" s="28"/>
      <c r="CA196" s="28"/>
      <c r="CB196" s="28"/>
      <c r="CC196" s="28"/>
      <c r="CD196" s="28"/>
      <c r="CE196" s="28"/>
      <c r="CF196" s="28"/>
      <c r="CG196" s="28"/>
      <c r="CH196" s="28"/>
      <c r="CI196" s="28"/>
      <c r="CJ196" s="28"/>
      <c r="CK196" s="28"/>
      <c r="CL196" s="28"/>
      <c r="CM196" s="28"/>
      <c r="CN196" s="28"/>
      <c r="CO196" s="28"/>
      <c r="CP196" s="28"/>
      <c r="CQ196" s="28"/>
      <c r="CR196" s="28"/>
      <c r="CS196" s="28"/>
      <c r="CT196" s="28"/>
      <c r="CU196" s="28"/>
      <c r="CV196" s="28"/>
      <c r="CW196" s="28"/>
      <c r="CX196" s="28"/>
      <c r="CY196" s="28"/>
      <c r="CZ196" s="28"/>
      <c r="DA196" s="28"/>
      <c r="DB196" s="28"/>
      <c r="DC196" s="28"/>
      <c r="DD196" s="28"/>
      <c r="DE196" s="28"/>
      <c r="DF196" s="28"/>
      <c r="DG196" s="28"/>
      <c r="DH196" s="28"/>
      <c r="DI196" s="28"/>
      <c r="DJ196" s="28"/>
      <c r="DK196" s="29"/>
      <c r="DL196" s="29"/>
      <c r="DM196" s="29"/>
      <c r="DN196" s="29"/>
      <c r="DO196" s="29"/>
      <c r="DP196" s="29"/>
      <c r="DQ196" s="29"/>
      <c r="DR196" s="29"/>
      <c r="DS196" s="22"/>
      <c r="DT196" s="22"/>
      <c r="DU196" s="22"/>
      <c r="DV196" s="22"/>
    </row>
    <row r="197" spans="61:126" x14ac:dyDescent="0.25">
      <c r="BI197" s="22"/>
      <c r="BJ197" s="22"/>
      <c r="BK197" s="22"/>
      <c r="BL197" s="22"/>
      <c r="BM197" s="66"/>
      <c r="BN197" s="66"/>
      <c r="BO197" s="23"/>
      <c r="BP197" s="23"/>
      <c r="BQ197" s="23"/>
      <c r="BR197" s="24"/>
      <c r="BS197" s="24"/>
      <c r="BT197" s="68"/>
      <c r="BU197" s="68"/>
      <c r="BV197" s="25"/>
      <c r="BW197" s="26"/>
      <c r="BX197" s="27"/>
      <c r="BY197" s="28"/>
      <c r="BZ197" s="28"/>
      <c r="CA197" s="28"/>
      <c r="CB197" s="28"/>
      <c r="CC197" s="28"/>
      <c r="CD197" s="28"/>
      <c r="CE197" s="28"/>
      <c r="CF197" s="28"/>
      <c r="CG197" s="28"/>
      <c r="CH197" s="28"/>
      <c r="CI197" s="28"/>
      <c r="CJ197" s="28"/>
      <c r="CK197" s="28"/>
      <c r="CL197" s="28"/>
      <c r="CM197" s="28"/>
      <c r="CN197" s="28"/>
      <c r="CO197" s="28"/>
      <c r="CP197" s="28"/>
      <c r="CQ197" s="28"/>
      <c r="CR197" s="28"/>
      <c r="CS197" s="28"/>
      <c r="CT197" s="28"/>
      <c r="CU197" s="28"/>
      <c r="CV197" s="28"/>
      <c r="CW197" s="28"/>
      <c r="CX197" s="28"/>
      <c r="CY197" s="28"/>
      <c r="CZ197" s="28"/>
      <c r="DA197" s="28"/>
      <c r="DB197" s="28"/>
      <c r="DC197" s="28"/>
      <c r="DD197" s="28"/>
      <c r="DE197" s="28"/>
      <c r="DF197" s="28"/>
      <c r="DG197" s="28"/>
      <c r="DH197" s="28"/>
      <c r="DI197" s="28"/>
      <c r="DJ197" s="28"/>
      <c r="DK197" s="29"/>
      <c r="DL197" s="29"/>
      <c r="DM197" s="29"/>
      <c r="DN197" s="29"/>
      <c r="DO197" s="29"/>
      <c r="DP197" s="29"/>
      <c r="DQ197" s="29"/>
      <c r="DR197" s="29"/>
      <c r="DS197" s="22"/>
      <c r="DT197" s="22"/>
      <c r="DU197" s="22"/>
      <c r="DV197" s="22"/>
    </row>
    <row r="198" spans="61:126" x14ac:dyDescent="0.25">
      <c r="BI198" s="22"/>
      <c r="BJ198" s="22"/>
      <c r="BK198" s="22"/>
      <c r="BL198" s="22"/>
      <c r="BM198" s="66"/>
      <c r="BN198" s="66"/>
      <c r="BO198" s="23"/>
      <c r="BP198" s="23"/>
      <c r="BQ198" s="23"/>
      <c r="BR198" s="24"/>
      <c r="BS198" s="24"/>
      <c r="BT198" s="68"/>
      <c r="BU198" s="68"/>
      <c r="BV198" s="25"/>
      <c r="BW198" s="26"/>
      <c r="BX198" s="27"/>
      <c r="BY198" s="28"/>
      <c r="BZ198" s="28"/>
      <c r="CA198" s="28"/>
      <c r="CB198" s="28"/>
      <c r="CC198" s="28"/>
      <c r="CD198" s="28"/>
      <c r="CE198" s="28"/>
      <c r="CF198" s="28"/>
      <c r="CG198" s="28"/>
      <c r="CH198" s="28"/>
      <c r="CI198" s="28"/>
      <c r="CJ198" s="28"/>
      <c r="CK198" s="28"/>
      <c r="CL198" s="28"/>
      <c r="CM198" s="28"/>
      <c r="CN198" s="28"/>
      <c r="CO198" s="28"/>
      <c r="CP198" s="28"/>
      <c r="CQ198" s="28"/>
      <c r="CR198" s="28"/>
      <c r="CS198" s="28"/>
      <c r="CT198" s="28"/>
      <c r="CU198" s="28"/>
      <c r="CV198" s="28"/>
      <c r="CW198" s="28"/>
      <c r="CX198" s="28"/>
      <c r="CY198" s="28"/>
      <c r="CZ198" s="28"/>
      <c r="DA198" s="28"/>
      <c r="DB198" s="28"/>
      <c r="DC198" s="28"/>
      <c r="DD198" s="28"/>
      <c r="DE198" s="28"/>
      <c r="DF198" s="28"/>
      <c r="DG198" s="28"/>
      <c r="DH198" s="28"/>
      <c r="DI198" s="28"/>
      <c r="DJ198" s="28"/>
      <c r="DK198" s="29"/>
      <c r="DL198" s="29"/>
      <c r="DM198" s="29"/>
      <c r="DN198" s="29"/>
      <c r="DO198" s="29"/>
      <c r="DP198" s="29"/>
      <c r="DQ198" s="29"/>
      <c r="DR198" s="29"/>
      <c r="DS198" s="22"/>
      <c r="DT198" s="22"/>
      <c r="DU198" s="22"/>
      <c r="DV198" s="22"/>
    </row>
    <row r="199" spans="61:126" x14ac:dyDescent="0.25">
      <c r="BI199" s="22"/>
      <c r="BJ199" s="22"/>
      <c r="BK199" s="22"/>
      <c r="BL199" s="22"/>
      <c r="BM199" s="66"/>
      <c r="BN199" s="66"/>
      <c r="BO199" s="23"/>
      <c r="BP199" s="23"/>
      <c r="BQ199" s="23"/>
      <c r="BR199" s="24"/>
      <c r="BS199" s="24"/>
      <c r="BT199" s="68"/>
      <c r="BU199" s="68"/>
      <c r="BV199" s="25"/>
      <c r="BW199" s="26"/>
      <c r="BX199" s="27"/>
      <c r="BY199" s="28"/>
      <c r="BZ199" s="28"/>
      <c r="CA199" s="28"/>
      <c r="CB199" s="28"/>
      <c r="CC199" s="28"/>
      <c r="CD199" s="28"/>
      <c r="CE199" s="28"/>
      <c r="CF199" s="28"/>
      <c r="CG199" s="28"/>
      <c r="CH199" s="28"/>
      <c r="CI199" s="28"/>
      <c r="CJ199" s="28"/>
      <c r="CK199" s="28"/>
      <c r="CL199" s="28"/>
      <c r="CM199" s="28"/>
      <c r="CN199" s="28"/>
      <c r="CO199" s="28"/>
      <c r="CP199" s="28"/>
      <c r="CQ199" s="28"/>
      <c r="CR199" s="28"/>
      <c r="CS199" s="28"/>
      <c r="CT199" s="28"/>
      <c r="CU199" s="28"/>
      <c r="CV199" s="28"/>
      <c r="CW199" s="28"/>
      <c r="CX199" s="28"/>
      <c r="CY199" s="28"/>
      <c r="CZ199" s="28"/>
      <c r="DA199" s="28"/>
      <c r="DB199" s="28"/>
      <c r="DC199" s="28"/>
      <c r="DD199" s="28"/>
      <c r="DE199" s="28"/>
      <c r="DF199" s="28"/>
      <c r="DG199" s="28"/>
      <c r="DH199" s="28"/>
      <c r="DI199" s="28"/>
      <c r="DJ199" s="28"/>
      <c r="DK199" s="29"/>
      <c r="DL199" s="29"/>
      <c r="DM199" s="29"/>
      <c r="DN199" s="29"/>
      <c r="DO199" s="29"/>
      <c r="DP199" s="29"/>
      <c r="DQ199" s="29"/>
      <c r="DR199" s="29"/>
      <c r="DS199" s="22"/>
      <c r="DT199" s="22"/>
      <c r="DU199" s="22"/>
      <c r="DV199" s="22"/>
    </row>
    <row r="200" spans="61:126" x14ac:dyDescent="0.25">
      <c r="BI200" s="22"/>
      <c r="BJ200" s="22"/>
      <c r="BK200" s="22"/>
      <c r="BL200" s="22"/>
      <c r="BM200" s="66"/>
      <c r="BN200" s="66"/>
      <c r="BO200" s="23"/>
      <c r="BP200" s="23"/>
      <c r="BQ200" s="23"/>
      <c r="BR200" s="24"/>
      <c r="BS200" s="24"/>
      <c r="BT200" s="68"/>
      <c r="BU200" s="68"/>
      <c r="BV200" s="25"/>
      <c r="BW200" s="26"/>
      <c r="BX200" s="27"/>
      <c r="BY200" s="28"/>
      <c r="BZ200" s="28"/>
      <c r="CA200" s="28"/>
      <c r="CB200" s="28"/>
      <c r="CC200" s="28"/>
      <c r="CD200" s="28"/>
      <c r="CE200" s="28"/>
      <c r="CF200" s="28"/>
      <c r="CG200" s="28"/>
      <c r="CH200" s="28"/>
      <c r="CI200" s="28"/>
      <c r="CJ200" s="28"/>
      <c r="CK200" s="28"/>
      <c r="CL200" s="28"/>
      <c r="CM200" s="28"/>
      <c r="CN200" s="28"/>
      <c r="CO200" s="28"/>
      <c r="CP200" s="28"/>
      <c r="CQ200" s="28"/>
      <c r="CR200" s="28"/>
      <c r="CS200" s="28"/>
      <c r="CT200" s="28"/>
      <c r="CU200" s="28"/>
      <c r="CV200" s="28"/>
      <c r="CW200" s="28"/>
      <c r="CX200" s="28"/>
      <c r="CY200" s="28"/>
      <c r="CZ200" s="28"/>
      <c r="DA200" s="28"/>
      <c r="DB200" s="28"/>
      <c r="DC200" s="28"/>
      <c r="DD200" s="28"/>
      <c r="DE200" s="28"/>
      <c r="DF200" s="28"/>
      <c r="DG200" s="28"/>
      <c r="DH200" s="28"/>
      <c r="DI200" s="28"/>
      <c r="DJ200" s="28"/>
      <c r="DK200" s="29"/>
      <c r="DL200" s="29"/>
      <c r="DM200" s="29"/>
      <c r="DN200" s="29"/>
      <c r="DO200" s="29"/>
      <c r="DP200" s="29"/>
      <c r="DQ200" s="29"/>
      <c r="DR200" s="29"/>
      <c r="DS200" s="22"/>
      <c r="DT200" s="22"/>
      <c r="DU200" s="22"/>
      <c r="DV200" s="22"/>
    </row>
    <row r="201" spans="61:126" x14ac:dyDescent="0.25">
      <c r="BI201" s="22"/>
      <c r="BJ201" s="22"/>
      <c r="BK201" s="22"/>
      <c r="BL201" s="22"/>
      <c r="BM201" s="66"/>
      <c r="BN201" s="66"/>
      <c r="BO201" s="23"/>
      <c r="BP201" s="23"/>
      <c r="BQ201" s="23"/>
      <c r="BR201" s="24"/>
      <c r="BS201" s="24"/>
      <c r="BT201" s="68"/>
      <c r="BU201" s="68"/>
      <c r="BV201" s="25"/>
      <c r="BW201" s="26"/>
      <c r="BX201" s="27"/>
      <c r="BY201" s="28"/>
      <c r="BZ201" s="28"/>
      <c r="CA201" s="28"/>
      <c r="CB201" s="28"/>
      <c r="CC201" s="28"/>
      <c r="CD201" s="28"/>
      <c r="CE201" s="28"/>
      <c r="CF201" s="28"/>
      <c r="CG201" s="28"/>
      <c r="CH201" s="28"/>
      <c r="CI201" s="28"/>
      <c r="CJ201" s="28"/>
      <c r="CK201" s="28"/>
      <c r="CL201" s="28"/>
      <c r="CM201" s="28"/>
      <c r="CN201" s="28"/>
      <c r="CO201" s="28"/>
      <c r="CP201" s="28"/>
      <c r="CQ201" s="28"/>
      <c r="CR201" s="28"/>
      <c r="CS201" s="28"/>
      <c r="CT201" s="28"/>
      <c r="CU201" s="28"/>
      <c r="CV201" s="28"/>
      <c r="CW201" s="28"/>
      <c r="CX201" s="28"/>
      <c r="CY201" s="28"/>
      <c r="CZ201" s="28"/>
      <c r="DA201" s="28"/>
      <c r="DB201" s="28"/>
      <c r="DC201" s="28"/>
      <c r="DD201" s="28"/>
      <c r="DE201" s="28"/>
      <c r="DF201" s="28"/>
      <c r="DG201" s="28"/>
      <c r="DH201" s="28"/>
      <c r="DI201" s="28"/>
      <c r="DJ201" s="28"/>
      <c r="DK201" s="29"/>
      <c r="DL201" s="29"/>
      <c r="DM201" s="29"/>
      <c r="DN201" s="29"/>
      <c r="DO201" s="29"/>
      <c r="DP201" s="29"/>
      <c r="DQ201" s="29"/>
      <c r="DR201" s="29"/>
      <c r="DS201" s="22"/>
      <c r="DT201" s="22"/>
      <c r="DU201" s="22"/>
      <c r="DV201" s="22"/>
    </row>
    <row r="202" spans="61:126" x14ac:dyDescent="0.25">
      <c r="BI202" s="22"/>
      <c r="BJ202" s="22"/>
      <c r="BK202" s="22"/>
      <c r="BL202" s="22"/>
      <c r="BM202" s="66"/>
      <c r="BN202" s="66"/>
      <c r="BO202" s="23"/>
      <c r="BP202" s="23"/>
      <c r="BQ202" s="23"/>
      <c r="BR202" s="24"/>
      <c r="BS202" s="24"/>
      <c r="BT202" s="68"/>
      <c r="BU202" s="68"/>
      <c r="BV202" s="25"/>
      <c r="BW202" s="26"/>
      <c r="BX202" s="27"/>
      <c r="BY202" s="28"/>
      <c r="BZ202" s="28"/>
      <c r="CA202" s="28"/>
      <c r="CB202" s="28"/>
      <c r="CC202" s="28"/>
      <c r="CD202" s="28"/>
      <c r="CE202" s="28"/>
      <c r="CF202" s="28"/>
      <c r="CG202" s="28"/>
      <c r="CH202" s="28"/>
      <c r="CI202" s="28"/>
      <c r="CJ202" s="28"/>
      <c r="CK202" s="28"/>
      <c r="CL202" s="28"/>
      <c r="CM202" s="28"/>
      <c r="CN202" s="28"/>
      <c r="CO202" s="28"/>
      <c r="CP202" s="28"/>
      <c r="CQ202" s="28"/>
      <c r="CR202" s="28"/>
      <c r="CS202" s="28"/>
      <c r="CT202" s="28"/>
      <c r="CU202" s="28"/>
      <c r="CV202" s="28"/>
      <c r="CW202" s="28"/>
      <c r="CX202" s="28"/>
      <c r="CY202" s="28"/>
      <c r="CZ202" s="28"/>
      <c r="DA202" s="28"/>
      <c r="DB202" s="28"/>
      <c r="DC202" s="28"/>
      <c r="DD202" s="28"/>
      <c r="DE202" s="28"/>
      <c r="DF202" s="28"/>
      <c r="DG202" s="28"/>
      <c r="DH202" s="28"/>
      <c r="DI202" s="28"/>
      <c r="DJ202" s="28"/>
      <c r="DK202" s="29"/>
      <c r="DL202" s="29"/>
      <c r="DM202" s="29"/>
      <c r="DN202" s="29"/>
      <c r="DO202" s="29"/>
      <c r="DP202" s="29"/>
      <c r="DQ202" s="29"/>
      <c r="DR202" s="29"/>
      <c r="DS202" s="22"/>
      <c r="DT202" s="22"/>
      <c r="DU202" s="22"/>
      <c r="DV202" s="22"/>
    </row>
    <row r="203" spans="61:126" x14ac:dyDescent="0.25">
      <c r="BI203" s="22"/>
      <c r="BJ203" s="22"/>
      <c r="BK203" s="22"/>
      <c r="BL203" s="22"/>
      <c r="BM203" s="66"/>
      <c r="BN203" s="66"/>
      <c r="BO203" s="23"/>
      <c r="BP203" s="23"/>
      <c r="BQ203" s="23"/>
      <c r="BR203" s="24"/>
      <c r="BS203" s="24"/>
      <c r="BT203" s="68"/>
      <c r="BU203" s="68"/>
      <c r="BV203" s="25"/>
      <c r="BW203" s="26"/>
      <c r="BX203" s="27"/>
      <c r="BY203" s="28"/>
      <c r="BZ203" s="28"/>
      <c r="CA203" s="28"/>
      <c r="CB203" s="28"/>
      <c r="CC203" s="28"/>
      <c r="CD203" s="28"/>
      <c r="CE203" s="28"/>
      <c r="CF203" s="28"/>
      <c r="CG203" s="28"/>
      <c r="CH203" s="28"/>
      <c r="CI203" s="28"/>
      <c r="CJ203" s="28"/>
      <c r="CK203" s="28"/>
      <c r="CL203" s="28"/>
      <c r="CM203" s="28"/>
      <c r="CN203" s="28"/>
      <c r="CO203" s="28"/>
      <c r="CP203" s="28"/>
      <c r="CQ203" s="28"/>
      <c r="CR203" s="28"/>
      <c r="CS203" s="28"/>
      <c r="CT203" s="28"/>
      <c r="CU203" s="28"/>
      <c r="CV203" s="28"/>
      <c r="CW203" s="28"/>
      <c r="CX203" s="28"/>
      <c r="CY203" s="28"/>
      <c r="CZ203" s="28"/>
      <c r="DA203" s="28"/>
      <c r="DB203" s="28"/>
      <c r="DC203" s="28"/>
      <c r="DD203" s="28"/>
      <c r="DE203" s="28"/>
      <c r="DF203" s="28"/>
      <c r="DG203" s="28"/>
      <c r="DH203" s="28"/>
      <c r="DI203" s="28"/>
      <c r="DJ203" s="28"/>
      <c r="DK203" s="29"/>
      <c r="DL203" s="29"/>
      <c r="DM203" s="29"/>
      <c r="DN203" s="29"/>
      <c r="DO203" s="29"/>
      <c r="DP203" s="29"/>
      <c r="DQ203" s="29"/>
      <c r="DR203" s="29"/>
      <c r="DS203" s="22"/>
      <c r="DT203" s="22"/>
      <c r="DU203" s="22"/>
      <c r="DV203" s="22"/>
    </row>
    <row r="204" spans="61:126" x14ac:dyDescent="0.25">
      <c r="BI204" s="22"/>
      <c r="BJ204" s="22"/>
      <c r="BK204" s="22"/>
      <c r="BL204" s="22"/>
      <c r="BM204" s="66"/>
      <c r="BN204" s="66"/>
      <c r="BO204" s="23"/>
      <c r="BP204" s="23"/>
      <c r="BQ204" s="23"/>
      <c r="BR204" s="24"/>
      <c r="BS204" s="24"/>
      <c r="BT204" s="68"/>
      <c r="BU204" s="68"/>
      <c r="BV204" s="25"/>
      <c r="BW204" s="26"/>
      <c r="BX204" s="27"/>
      <c r="BY204" s="28"/>
      <c r="BZ204" s="28"/>
      <c r="CA204" s="28"/>
      <c r="CB204" s="28"/>
      <c r="CC204" s="28"/>
      <c r="CD204" s="28"/>
      <c r="CE204" s="28"/>
      <c r="CF204" s="28"/>
      <c r="CG204" s="28"/>
      <c r="CH204" s="28"/>
      <c r="CI204" s="28"/>
      <c r="CJ204" s="28"/>
      <c r="CK204" s="28"/>
      <c r="CL204" s="28"/>
      <c r="CM204" s="28"/>
      <c r="CN204" s="28"/>
      <c r="CO204" s="28"/>
      <c r="CP204" s="28"/>
      <c r="CQ204" s="28"/>
      <c r="CR204" s="28"/>
      <c r="CS204" s="28"/>
      <c r="CT204" s="28"/>
      <c r="CU204" s="28"/>
      <c r="CV204" s="28"/>
      <c r="CW204" s="28"/>
      <c r="CX204" s="28"/>
      <c r="CY204" s="28"/>
      <c r="CZ204" s="28"/>
      <c r="DA204" s="28"/>
      <c r="DB204" s="28"/>
      <c r="DC204" s="28"/>
      <c r="DD204" s="28"/>
      <c r="DE204" s="28"/>
      <c r="DF204" s="28"/>
      <c r="DG204" s="28"/>
      <c r="DH204" s="28"/>
      <c r="DI204" s="28"/>
      <c r="DJ204" s="28"/>
      <c r="DK204" s="29"/>
      <c r="DL204" s="29"/>
      <c r="DM204" s="29"/>
      <c r="DN204" s="29"/>
      <c r="DO204" s="29"/>
      <c r="DP204" s="29"/>
      <c r="DQ204" s="29"/>
      <c r="DR204" s="29"/>
      <c r="DS204" s="22"/>
      <c r="DT204" s="22"/>
      <c r="DU204" s="22"/>
      <c r="DV204" s="22"/>
    </row>
    <row r="205" spans="61:126" x14ac:dyDescent="0.25">
      <c r="BI205" s="22"/>
      <c r="BJ205" s="22"/>
      <c r="BK205" s="22"/>
      <c r="BL205" s="22"/>
      <c r="BM205" s="66"/>
      <c r="BN205" s="66"/>
      <c r="BO205" s="23"/>
      <c r="BP205" s="23"/>
      <c r="BQ205" s="23"/>
      <c r="BR205" s="24"/>
      <c r="BS205" s="24"/>
      <c r="BT205" s="68"/>
      <c r="BU205" s="68"/>
      <c r="BV205" s="25"/>
      <c r="BW205" s="26"/>
      <c r="BX205" s="27"/>
      <c r="BY205" s="28"/>
      <c r="BZ205" s="28"/>
      <c r="CA205" s="28"/>
      <c r="CB205" s="28"/>
      <c r="CC205" s="28"/>
      <c r="CD205" s="28"/>
      <c r="CE205" s="28"/>
      <c r="CF205" s="28"/>
      <c r="CG205" s="28"/>
      <c r="CH205" s="28"/>
      <c r="CI205" s="28"/>
      <c r="CJ205" s="28"/>
      <c r="CK205" s="28"/>
      <c r="CL205" s="28"/>
      <c r="CM205" s="28"/>
      <c r="CN205" s="28"/>
      <c r="CO205" s="28"/>
      <c r="CP205" s="28"/>
      <c r="CQ205" s="28"/>
      <c r="CR205" s="28"/>
      <c r="CS205" s="28"/>
      <c r="CT205" s="28"/>
      <c r="CU205" s="28"/>
      <c r="CV205" s="28"/>
      <c r="CW205" s="28"/>
      <c r="CX205" s="28"/>
      <c r="CY205" s="28"/>
      <c r="CZ205" s="28"/>
      <c r="DA205" s="28"/>
      <c r="DB205" s="28"/>
      <c r="DC205" s="28"/>
      <c r="DD205" s="28"/>
      <c r="DE205" s="28"/>
      <c r="DF205" s="28"/>
      <c r="DG205" s="28"/>
      <c r="DH205" s="28"/>
      <c r="DI205" s="28"/>
      <c r="DJ205" s="28"/>
      <c r="DK205" s="29"/>
      <c r="DL205" s="29"/>
      <c r="DM205" s="29"/>
      <c r="DN205" s="29"/>
      <c r="DO205" s="29"/>
      <c r="DP205" s="29"/>
      <c r="DQ205" s="29"/>
      <c r="DR205" s="29"/>
      <c r="DS205" s="22"/>
      <c r="DT205" s="22"/>
      <c r="DU205" s="22"/>
      <c r="DV205" s="22"/>
    </row>
    <row r="206" spans="61:126" x14ac:dyDescent="0.25">
      <c r="BI206" s="22"/>
      <c r="BJ206" s="22"/>
      <c r="BK206" s="22"/>
      <c r="BL206" s="22"/>
      <c r="BM206" s="66"/>
      <c r="BN206" s="66"/>
      <c r="BO206" s="23"/>
      <c r="BP206" s="23"/>
      <c r="BQ206" s="23"/>
      <c r="BR206" s="24"/>
      <c r="BS206" s="24"/>
      <c r="BT206" s="68"/>
      <c r="BU206" s="68"/>
      <c r="BV206" s="25"/>
      <c r="BW206" s="26"/>
      <c r="BX206" s="27"/>
      <c r="BY206" s="28"/>
      <c r="BZ206" s="28"/>
      <c r="CA206" s="28"/>
      <c r="CB206" s="28"/>
      <c r="CC206" s="28"/>
      <c r="CD206" s="28"/>
      <c r="CE206" s="28"/>
      <c r="CF206" s="28"/>
      <c r="CG206" s="28"/>
      <c r="CH206" s="28"/>
      <c r="CI206" s="28"/>
      <c r="CJ206" s="28"/>
      <c r="CK206" s="28"/>
      <c r="CL206" s="28"/>
      <c r="CM206" s="28"/>
      <c r="CN206" s="28"/>
      <c r="CO206" s="28"/>
      <c r="CP206" s="28"/>
      <c r="CQ206" s="28"/>
      <c r="CR206" s="28"/>
      <c r="CS206" s="28"/>
      <c r="CT206" s="28"/>
      <c r="CU206" s="28"/>
      <c r="CV206" s="28"/>
      <c r="CW206" s="28"/>
      <c r="CX206" s="28"/>
      <c r="CY206" s="28"/>
      <c r="CZ206" s="28"/>
      <c r="DA206" s="28"/>
      <c r="DB206" s="28"/>
      <c r="DC206" s="28"/>
      <c r="DD206" s="28"/>
      <c r="DE206" s="28"/>
      <c r="DF206" s="28"/>
      <c r="DG206" s="28"/>
      <c r="DH206" s="28"/>
      <c r="DI206" s="28"/>
      <c r="DJ206" s="28"/>
      <c r="DK206" s="29"/>
      <c r="DL206" s="29"/>
      <c r="DM206" s="29"/>
      <c r="DN206" s="29"/>
      <c r="DO206" s="29"/>
      <c r="DP206" s="29"/>
      <c r="DQ206" s="29"/>
      <c r="DR206" s="29"/>
      <c r="DS206" s="22"/>
      <c r="DT206" s="22"/>
      <c r="DU206" s="22"/>
      <c r="DV206" s="22"/>
    </row>
    <row r="207" spans="61:126" x14ac:dyDescent="0.25">
      <c r="BI207" s="22"/>
      <c r="BJ207" s="22"/>
      <c r="BK207" s="22"/>
      <c r="BL207" s="22"/>
      <c r="BM207" s="66"/>
      <c r="BN207" s="66"/>
      <c r="BO207" s="23"/>
      <c r="BP207" s="23"/>
      <c r="BQ207" s="23"/>
      <c r="BR207" s="24"/>
      <c r="BS207" s="24"/>
      <c r="BT207" s="68"/>
      <c r="BU207" s="68"/>
      <c r="BV207" s="25"/>
      <c r="BW207" s="26"/>
      <c r="BX207" s="27"/>
      <c r="BY207" s="28"/>
      <c r="BZ207" s="28"/>
      <c r="CA207" s="28"/>
      <c r="CB207" s="28"/>
      <c r="CC207" s="28"/>
      <c r="CD207" s="28"/>
      <c r="CE207" s="28"/>
      <c r="CF207" s="28"/>
      <c r="CG207" s="28"/>
      <c r="CH207" s="28"/>
      <c r="CI207" s="28"/>
      <c r="CJ207" s="28"/>
      <c r="CK207" s="28"/>
      <c r="CL207" s="28"/>
      <c r="CM207" s="28"/>
      <c r="CN207" s="28"/>
      <c r="CO207" s="28"/>
      <c r="CP207" s="28"/>
      <c r="CQ207" s="28"/>
      <c r="CR207" s="28"/>
      <c r="CS207" s="28"/>
      <c r="CT207" s="28"/>
      <c r="CU207" s="28"/>
      <c r="CV207" s="28"/>
      <c r="CW207" s="28"/>
      <c r="CX207" s="28"/>
      <c r="CY207" s="28"/>
      <c r="CZ207" s="28"/>
      <c r="DA207" s="28"/>
      <c r="DB207" s="28"/>
      <c r="DC207" s="28"/>
      <c r="DD207" s="28"/>
      <c r="DE207" s="28"/>
      <c r="DF207" s="28"/>
      <c r="DG207" s="28"/>
      <c r="DH207" s="28"/>
      <c r="DI207" s="28"/>
      <c r="DJ207" s="28"/>
      <c r="DK207" s="29"/>
      <c r="DL207" s="29"/>
      <c r="DM207" s="29"/>
      <c r="DN207" s="29"/>
      <c r="DO207" s="29"/>
      <c r="DP207" s="29"/>
      <c r="DQ207" s="29"/>
      <c r="DR207" s="29"/>
      <c r="DS207" s="22"/>
      <c r="DT207" s="22"/>
      <c r="DU207" s="22"/>
      <c r="DV207" s="22"/>
    </row>
    <row r="208" spans="61:126" x14ac:dyDescent="0.25">
      <c r="BI208" s="22"/>
      <c r="BJ208" s="22"/>
      <c r="BK208" s="22"/>
      <c r="BL208" s="22"/>
      <c r="BM208" s="66"/>
      <c r="BN208" s="66"/>
      <c r="BO208" s="23"/>
      <c r="BP208" s="23"/>
      <c r="BQ208" s="23"/>
      <c r="BR208" s="24"/>
      <c r="BS208" s="24"/>
      <c r="BT208" s="68"/>
      <c r="BU208" s="68"/>
      <c r="BV208" s="25"/>
      <c r="BW208" s="26"/>
      <c r="BX208" s="27"/>
      <c r="BY208" s="28"/>
      <c r="BZ208" s="28"/>
      <c r="CA208" s="28"/>
      <c r="CB208" s="28"/>
      <c r="CC208" s="28"/>
      <c r="CD208" s="28"/>
      <c r="CE208" s="28"/>
      <c r="CF208" s="28"/>
      <c r="CG208" s="28"/>
      <c r="CH208" s="28"/>
      <c r="CI208" s="28"/>
      <c r="CJ208" s="28"/>
      <c r="CK208" s="28"/>
      <c r="CL208" s="28"/>
      <c r="CM208" s="28"/>
      <c r="CN208" s="28"/>
      <c r="CO208" s="28"/>
      <c r="CP208" s="28"/>
      <c r="CQ208" s="28"/>
      <c r="CR208" s="28"/>
      <c r="CS208" s="28"/>
      <c r="CT208" s="28"/>
      <c r="CU208" s="28"/>
      <c r="CV208" s="28"/>
      <c r="CW208" s="28"/>
      <c r="CX208" s="28"/>
      <c r="CY208" s="28"/>
      <c r="CZ208" s="28"/>
      <c r="DA208" s="28"/>
      <c r="DB208" s="28"/>
      <c r="DC208" s="28"/>
      <c r="DD208" s="28"/>
      <c r="DE208" s="28"/>
      <c r="DF208" s="28"/>
      <c r="DG208" s="28"/>
      <c r="DH208" s="28"/>
      <c r="DI208" s="28"/>
      <c r="DJ208" s="28"/>
      <c r="DK208" s="29"/>
      <c r="DL208" s="29"/>
      <c r="DM208" s="29"/>
      <c r="DN208" s="29"/>
      <c r="DO208" s="29"/>
      <c r="DP208" s="29"/>
      <c r="DQ208" s="29"/>
      <c r="DR208" s="29"/>
      <c r="DS208" s="22"/>
      <c r="DT208" s="22"/>
      <c r="DU208" s="22"/>
      <c r="DV208" s="22"/>
    </row>
    <row r="209" spans="61:126" x14ac:dyDescent="0.25">
      <c r="BI209" s="22"/>
      <c r="BJ209" s="22"/>
      <c r="BK209" s="22"/>
      <c r="BL209" s="22"/>
      <c r="BM209" s="66"/>
      <c r="BN209" s="66"/>
      <c r="BO209" s="23"/>
      <c r="BP209" s="23"/>
      <c r="BQ209" s="23"/>
      <c r="BR209" s="24"/>
      <c r="BS209" s="24"/>
      <c r="BT209" s="68"/>
      <c r="BU209" s="68"/>
      <c r="BV209" s="25"/>
      <c r="BW209" s="26"/>
      <c r="BX209" s="27"/>
      <c r="BY209" s="28"/>
      <c r="BZ209" s="28"/>
      <c r="CA209" s="28"/>
      <c r="CB209" s="28"/>
      <c r="CC209" s="28"/>
      <c r="CD209" s="28"/>
      <c r="CE209" s="28"/>
      <c r="CF209" s="28"/>
      <c r="CG209" s="28"/>
      <c r="CH209" s="28"/>
      <c r="CI209" s="28"/>
      <c r="CJ209" s="28"/>
      <c r="CK209" s="28"/>
      <c r="CL209" s="28"/>
      <c r="CM209" s="28"/>
      <c r="CN209" s="28"/>
      <c r="CO209" s="28"/>
      <c r="CP209" s="28"/>
      <c r="CQ209" s="28"/>
      <c r="CR209" s="28"/>
      <c r="CS209" s="28"/>
      <c r="CT209" s="28"/>
      <c r="CU209" s="28"/>
      <c r="CV209" s="28"/>
      <c r="CW209" s="28"/>
      <c r="CX209" s="28"/>
      <c r="CY209" s="28"/>
      <c r="CZ209" s="28"/>
      <c r="DA209" s="28"/>
      <c r="DB209" s="28"/>
      <c r="DC209" s="28"/>
      <c r="DD209" s="28"/>
      <c r="DE209" s="28"/>
      <c r="DF209" s="28"/>
      <c r="DG209" s="28"/>
      <c r="DH209" s="28"/>
      <c r="DI209" s="28"/>
      <c r="DJ209" s="28"/>
      <c r="DK209" s="29"/>
      <c r="DL209" s="29"/>
      <c r="DM209" s="29"/>
      <c r="DN209" s="29"/>
      <c r="DO209" s="29"/>
      <c r="DP209" s="29"/>
      <c r="DQ209" s="29"/>
      <c r="DR209" s="29"/>
      <c r="DS209" s="22"/>
      <c r="DT209" s="22"/>
      <c r="DU209" s="22"/>
      <c r="DV209" s="22"/>
    </row>
    <row r="210" spans="61:126" x14ac:dyDescent="0.25">
      <c r="BI210" s="22"/>
      <c r="BJ210" s="22"/>
      <c r="BK210" s="22"/>
      <c r="BL210" s="22"/>
      <c r="BM210" s="66"/>
      <c r="BN210" s="66"/>
      <c r="BO210" s="23"/>
      <c r="BP210" s="23"/>
      <c r="BQ210" s="23"/>
      <c r="BR210" s="24"/>
      <c r="BS210" s="24"/>
      <c r="BT210" s="68"/>
      <c r="BU210" s="68"/>
      <c r="BV210" s="25"/>
      <c r="BW210" s="26"/>
      <c r="BX210" s="27"/>
      <c r="BY210" s="28"/>
      <c r="BZ210" s="28"/>
      <c r="CA210" s="28"/>
      <c r="CB210" s="28"/>
      <c r="CC210" s="28"/>
      <c r="CD210" s="28"/>
      <c r="CE210" s="28"/>
      <c r="CF210" s="28"/>
      <c r="CG210" s="28"/>
      <c r="CH210" s="28"/>
      <c r="CI210" s="28"/>
      <c r="CJ210" s="28"/>
      <c r="CK210" s="28"/>
      <c r="CL210" s="28"/>
      <c r="CM210" s="28"/>
      <c r="CN210" s="28"/>
      <c r="CO210" s="28"/>
      <c r="CP210" s="28"/>
      <c r="CQ210" s="28"/>
      <c r="CR210" s="28"/>
      <c r="CS210" s="28"/>
      <c r="CT210" s="28"/>
      <c r="CU210" s="28"/>
      <c r="CV210" s="28"/>
      <c r="CW210" s="28"/>
      <c r="CX210" s="28"/>
      <c r="CY210" s="28"/>
      <c r="CZ210" s="28"/>
      <c r="DA210" s="28"/>
      <c r="DB210" s="28"/>
      <c r="DC210" s="28"/>
      <c r="DD210" s="28"/>
      <c r="DE210" s="28"/>
      <c r="DF210" s="28"/>
      <c r="DG210" s="28"/>
      <c r="DH210" s="28"/>
      <c r="DI210" s="28"/>
      <c r="DJ210" s="28"/>
      <c r="DK210" s="29"/>
      <c r="DL210" s="29"/>
      <c r="DM210" s="29"/>
      <c r="DN210" s="29"/>
      <c r="DO210" s="29"/>
      <c r="DP210" s="29"/>
      <c r="DQ210" s="29"/>
      <c r="DR210" s="29"/>
      <c r="DS210" s="22"/>
      <c r="DT210" s="22"/>
      <c r="DU210" s="22"/>
      <c r="DV210" s="22"/>
    </row>
    <row r="211" spans="61:126" x14ac:dyDescent="0.25">
      <c r="BI211" s="22"/>
      <c r="BJ211" s="22"/>
      <c r="BK211" s="22"/>
      <c r="BL211" s="22"/>
      <c r="BM211" s="66"/>
      <c r="BN211" s="66"/>
      <c r="BO211" s="23"/>
      <c r="BP211" s="23"/>
      <c r="BQ211" s="23"/>
      <c r="BR211" s="24"/>
      <c r="BS211" s="24"/>
      <c r="BT211" s="68"/>
      <c r="BU211" s="68"/>
      <c r="BV211" s="25"/>
      <c r="BW211" s="26"/>
      <c r="BX211" s="27"/>
      <c r="BY211" s="28"/>
      <c r="BZ211" s="28"/>
      <c r="CA211" s="28"/>
      <c r="CB211" s="28"/>
      <c r="CC211" s="28"/>
      <c r="CD211" s="28"/>
      <c r="CE211" s="28"/>
      <c r="CF211" s="28"/>
      <c r="CG211" s="28"/>
      <c r="CH211" s="28"/>
      <c r="CI211" s="28"/>
      <c r="CJ211" s="28"/>
      <c r="CK211" s="28"/>
      <c r="CL211" s="28"/>
      <c r="CM211" s="28"/>
      <c r="CN211" s="28"/>
      <c r="CO211" s="28"/>
      <c r="CP211" s="28"/>
      <c r="CQ211" s="28"/>
      <c r="CR211" s="28"/>
      <c r="CS211" s="28"/>
      <c r="CT211" s="28"/>
      <c r="CU211" s="28"/>
      <c r="CV211" s="28"/>
      <c r="CW211" s="28"/>
      <c r="CX211" s="28"/>
      <c r="CY211" s="28"/>
      <c r="CZ211" s="28"/>
      <c r="DA211" s="28"/>
      <c r="DB211" s="28"/>
      <c r="DC211" s="28"/>
      <c r="DD211" s="28"/>
      <c r="DE211" s="28"/>
      <c r="DF211" s="28"/>
      <c r="DG211" s="28"/>
      <c r="DH211" s="28"/>
      <c r="DI211" s="28"/>
      <c r="DJ211" s="28"/>
      <c r="DK211" s="29"/>
      <c r="DL211" s="29"/>
      <c r="DM211" s="29"/>
      <c r="DN211" s="29"/>
      <c r="DO211" s="29"/>
      <c r="DP211" s="29"/>
      <c r="DQ211" s="29"/>
      <c r="DR211" s="29"/>
      <c r="DS211" s="22"/>
      <c r="DT211" s="22"/>
      <c r="DU211" s="22"/>
      <c r="DV211" s="22"/>
    </row>
    <row r="212" spans="61:126" x14ac:dyDescent="0.25">
      <c r="BI212" s="22"/>
      <c r="BJ212" s="22"/>
      <c r="BK212" s="22"/>
      <c r="BL212" s="22"/>
      <c r="BM212" s="66"/>
      <c r="BN212" s="66"/>
      <c r="BO212" s="23"/>
      <c r="BP212" s="23"/>
      <c r="BQ212" s="23"/>
      <c r="BR212" s="24"/>
      <c r="BS212" s="24"/>
      <c r="BT212" s="68"/>
      <c r="BU212" s="68"/>
      <c r="BV212" s="25"/>
      <c r="BW212" s="26"/>
      <c r="BX212" s="27"/>
      <c r="BY212" s="28"/>
      <c r="BZ212" s="28"/>
      <c r="CA212" s="28"/>
      <c r="CB212" s="28"/>
      <c r="CC212" s="28"/>
      <c r="CD212" s="28"/>
      <c r="CE212" s="28"/>
      <c r="CF212" s="28"/>
      <c r="CG212" s="28"/>
      <c r="CH212" s="28"/>
      <c r="CI212" s="28"/>
      <c r="CJ212" s="28"/>
      <c r="CK212" s="28"/>
      <c r="CL212" s="28"/>
      <c r="CM212" s="28"/>
      <c r="CN212" s="28"/>
      <c r="CO212" s="28"/>
      <c r="CP212" s="28"/>
      <c r="CQ212" s="28"/>
      <c r="CR212" s="28"/>
      <c r="CS212" s="28"/>
      <c r="CT212" s="28"/>
      <c r="CU212" s="28"/>
      <c r="CV212" s="28"/>
      <c r="CW212" s="28"/>
      <c r="CX212" s="28"/>
      <c r="CY212" s="28"/>
      <c r="CZ212" s="28"/>
      <c r="DA212" s="28"/>
      <c r="DB212" s="28"/>
      <c r="DC212" s="28"/>
      <c r="DD212" s="28"/>
      <c r="DE212" s="28"/>
      <c r="DF212" s="28"/>
      <c r="DG212" s="28"/>
      <c r="DH212" s="28"/>
      <c r="DI212" s="28"/>
      <c r="DJ212" s="28"/>
      <c r="DK212" s="29"/>
      <c r="DL212" s="29"/>
      <c r="DM212" s="29"/>
      <c r="DN212" s="29"/>
      <c r="DO212" s="29"/>
      <c r="DP212" s="29"/>
      <c r="DQ212" s="29"/>
      <c r="DR212" s="29"/>
      <c r="DS212" s="22"/>
      <c r="DT212" s="22"/>
      <c r="DU212" s="22"/>
      <c r="DV212" s="22"/>
    </row>
    <row r="213" spans="61:126" x14ac:dyDescent="0.25">
      <c r="BI213" s="22"/>
      <c r="BJ213" s="22"/>
      <c r="BK213" s="22"/>
      <c r="BL213" s="22"/>
      <c r="BM213" s="66"/>
      <c r="BN213" s="66"/>
      <c r="BO213" s="23"/>
      <c r="BP213" s="23"/>
      <c r="BQ213" s="23"/>
      <c r="BR213" s="24"/>
      <c r="BS213" s="24"/>
      <c r="BT213" s="68"/>
      <c r="BU213" s="68"/>
      <c r="BV213" s="25"/>
      <c r="BW213" s="26"/>
      <c r="BX213" s="27"/>
      <c r="BY213" s="28"/>
      <c r="BZ213" s="28"/>
      <c r="CA213" s="28"/>
      <c r="CB213" s="28"/>
      <c r="CC213" s="28"/>
      <c r="CD213" s="28"/>
      <c r="CE213" s="28"/>
      <c r="CF213" s="28"/>
      <c r="CG213" s="28"/>
      <c r="CH213" s="28"/>
      <c r="CI213" s="28"/>
      <c r="CJ213" s="28"/>
      <c r="CK213" s="28"/>
      <c r="CL213" s="28"/>
      <c r="CM213" s="28"/>
      <c r="CN213" s="28"/>
      <c r="CO213" s="28"/>
      <c r="CP213" s="28"/>
      <c r="CQ213" s="28"/>
      <c r="CR213" s="28"/>
      <c r="CS213" s="28"/>
      <c r="CT213" s="28"/>
      <c r="CU213" s="28"/>
      <c r="CV213" s="28"/>
      <c r="CW213" s="28"/>
      <c r="CX213" s="28"/>
      <c r="CY213" s="28"/>
      <c r="CZ213" s="28"/>
      <c r="DA213" s="28"/>
      <c r="DB213" s="28"/>
      <c r="DC213" s="28"/>
      <c r="DD213" s="28"/>
      <c r="DE213" s="28"/>
      <c r="DF213" s="28"/>
      <c r="DG213" s="28"/>
      <c r="DH213" s="28"/>
      <c r="DI213" s="28"/>
      <c r="DJ213" s="28"/>
      <c r="DK213" s="29"/>
      <c r="DL213" s="29"/>
      <c r="DM213" s="29"/>
      <c r="DN213" s="29"/>
      <c r="DO213" s="29"/>
      <c r="DP213" s="29"/>
      <c r="DQ213" s="29"/>
      <c r="DR213" s="29"/>
      <c r="DS213" s="22"/>
      <c r="DT213" s="22"/>
      <c r="DU213" s="22"/>
      <c r="DV213" s="22"/>
    </row>
    <row r="214" spans="61:126" x14ac:dyDescent="0.25">
      <c r="BI214" s="22"/>
      <c r="BJ214" s="22"/>
      <c r="BK214" s="22"/>
      <c r="BL214" s="22"/>
      <c r="BM214" s="66"/>
      <c r="BN214" s="66"/>
      <c r="BO214" s="23"/>
      <c r="BP214" s="23"/>
      <c r="BQ214" s="23"/>
      <c r="BR214" s="24"/>
      <c r="BS214" s="24"/>
      <c r="BT214" s="68"/>
      <c r="BU214" s="68"/>
      <c r="BV214" s="25"/>
      <c r="BW214" s="26"/>
      <c r="BX214" s="27"/>
      <c r="BY214" s="28"/>
      <c r="BZ214" s="28"/>
      <c r="CA214" s="28"/>
      <c r="CB214" s="28"/>
      <c r="CC214" s="28"/>
      <c r="CD214" s="28"/>
      <c r="CE214" s="28"/>
      <c r="CF214" s="28"/>
      <c r="CG214" s="28"/>
      <c r="CH214" s="28"/>
      <c r="CI214" s="28"/>
      <c r="CJ214" s="28"/>
      <c r="CK214" s="28"/>
      <c r="CL214" s="28"/>
      <c r="CM214" s="28"/>
      <c r="CN214" s="28"/>
      <c r="CO214" s="28"/>
      <c r="CP214" s="28"/>
      <c r="CQ214" s="28"/>
      <c r="CR214" s="28"/>
      <c r="CS214" s="28"/>
      <c r="CT214" s="28"/>
      <c r="CU214" s="28"/>
      <c r="CV214" s="28"/>
      <c r="CW214" s="28"/>
      <c r="CX214" s="28"/>
      <c r="CY214" s="28"/>
      <c r="CZ214" s="28"/>
      <c r="DA214" s="28"/>
      <c r="DB214" s="28"/>
      <c r="DC214" s="28"/>
      <c r="DD214" s="28"/>
      <c r="DE214" s="28"/>
      <c r="DF214" s="28"/>
      <c r="DG214" s="28"/>
      <c r="DH214" s="28"/>
      <c r="DI214" s="28"/>
      <c r="DJ214" s="28"/>
      <c r="DK214" s="29"/>
      <c r="DL214" s="29"/>
      <c r="DM214" s="29"/>
      <c r="DN214" s="29"/>
      <c r="DO214" s="29"/>
      <c r="DP214" s="29"/>
      <c r="DQ214" s="29"/>
      <c r="DR214" s="29"/>
      <c r="DS214" s="22"/>
      <c r="DT214" s="22"/>
      <c r="DU214" s="22"/>
      <c r="DV214" s="22"/>
    </row>
    <row r="215" spans="61:126" x14ac:dyDescent="0.25">
      <c r="BI215" s="22"/>
      <c r="BJ215" s="22"/>
      <c r="BK215" s="22"/>
      <c r="BL215" s="22"/>
      <c r="BM215" s="66"/>
      <c r="BN215" s="66"/>
      <c r="BO215" s="23"/>
      <c r="BP215" s="23"/>
      <c r="BQ215" s="23"/>
      <c r="BR215" s="24"/>
      <c r="BS215" s="24"/>
      <c r="BT215" s="68"/>
      <c r="BU215" s="68"/>
      <c r="BV215" s="25"/>
      <c r="BW215" s="26"/>
      <c r="BX215" s="27"/>
      <c r="BY215" s="28"/>
      <c r="BZ215" s="28"/>
      <c r="CA215" s="28"/>
      <c r="CB215" s="28"/>
      <c r="CC215" s="28"/>
      <c r="CD215" s="28"/>
      <c r="CE215" s="28"/>
      <c r="CF215" s="28"/>
      <c r="CG215" s="28"/>
      <c r="CH215" s="28"/>
      <c r="CI215" s="28"/>
      <c r="CJ215" s="28"/>
      <c r="CK215" s="28"/>
      <c r="CL215" s="28"/>
      <c r="CM215" s="28"/>
      <c r="CN215" s="28"/>
      <c r="CO215" s="28"/>
      <c r="CP215" s="28"/>
      <c r="CQ215" s="28"/>
      <c r="CR215" s="28"/>
      <c r="CS215" s="28"/>
      <c r="CT215" s="28"/>
      <c r="CU215" s="28"/>
      <c r="CV215" s="28"/>
      <c r="CW215" s="28"/>
      <c r="CX215" s="28"/>
      <c r="CY215" s="28"/>
      <c r="CZ215" s="28"/>
      <c r="DA215" s="28"/>
      <c r="DB215" s="28"/>
      <c r="DC215" s="28"/>
      <c r="DD215" s="28"/>
      <c r="DE215" s="28"/>
      <c r="DF215" s="28"/>
      <c r="DG215" s="28"/>
      <c r="DH215" s="28"/>
      <c r="DI215" s="28"/>
      <c r="DJ215" s="28"/>
      <c r="DK215" s="29"/>
      <c r="DL215" s="29"/>
      <c r="DM215" s="29"/>
      <c r="DN215" s="29"/>
      <c r="DO215" s="29"/>
      <c r="DP215" s="29"/>
      <c r="DQ215" s="29"/>
      <c r="DR215" s="29"/>
      <c r="DS215" s="22"/>
      <c r="DT215" s="22"/>
      <c r="DU215" s="22"/>
      <c r="DV215" s="22"/>
    </row>
    <row r="216" spans="61:126" x14ac:dyDescent="0.25">
      <c r="BI216" s="22"/>
      <c r="BJ216" s="22"/>
      <c r="BK216" s="22"/>
      <c r="BL216" s="22"/>
      <c r="BM216" s="66"/>
      <c r="BN216" s="66"/>
      <c r="BO216" s="23"/>
      <c r="BP216" s="23"/>
      <c r="BQ216" s="23"/>
      <c r="BR216" s="24"/>
      <c r="BS216" s="24"/>
      <c r="BT216" s="68"/>
      <c r="BU216" s="68"/>
      <c r="BV216" s="25"/>
      <c r="BW216" s="26"/>
      <c r="BX216" s="27"/>
      <c r="BY216" s="28"/>
      <c r="BZ216" s="28"/>
      <c r="CA216" s="28"/>
      <c r="CB216" s="28"/>
      <c r="CC216" s="28"/>
      <c r="CD216" s="28"/>
      <c r="CE216" s="28"/>
      <c r="CF216" s="28"/>
      <c r="CG216" s="28"/>
      <c r="CH216" s="28"/>
      <c r="CI216" s="28"/>
      <c r="CJ216" s="28"/>
      <c r="CK216" s="28"/>
      <c r="CL216" s="28"/>
      <c r="CM216" s="28"/>
      <c r="CN216" s="28"/>
      <c r="CO216" s="28"/>
      <c r="CP216" s="28"/>
      <c r="CQ216" s="28"/>
      <c r="CR216" s="28"/>
      <c r="CS216" s="28"/>
      <c r="CT216" s="28"/>
      <c r="CU216" s="28"/>
      <c r="CV216" s="28"/>
      <c r="CW216" s="28"/>
      <c r="CX216" s="28"/>
      <c r="CY216" s="28"/>
      <c r="CZ216" s="28"/>
      <c r="DA216" s="28"/>
      <c r="DB216" s="28"/>
      <c r="DC216" s="28"/>
      <c r="DD216" s="28"/>
      <c r="DE216" s="28"/>
      <c r="DF216" s="28"/>
      <c r="DG216" s="28"/>
      <c r="DH216" s="28"/>
      <c r="DI216" s="28"/>
      <c r="DJ216" s="28"/>
      <c r="DK216" s="29"/>
      <c r="DL216" s="29"/>
      <c r="DM216" s="29"/>
      <c r="DN216" s="29"/>
      <c r="DO216" s="29"/>
      <c r="DP216" s="29"/>
      <c r="DQ216" s="29"/>
      <c r="DR216" s="29"/>
      <c r="DS216" s="22"/>
      <c r="DT216" s="22"/>
      <c r="DU216" s="22"/>
      <c r="DV216" s="22"/>
    </row>
    <row r="217" spans="61:126" x14ac:dyDescent="0.25">
      <c r="BI217" s="22"/>
      <c r="BJ217" s="22"/>
      <c r="BK217" s="22"/>
      <c r="BL217" s="22"/>
      <c r="BM217" s="66"/>
      <c r="BN217" s="66"/>
      <c r="BO217" s="23"/>
      <c r="BP217" s="23"/>
      <c r="BQ217" s="23"/>
      <c r="BR217" s="24"/>
      <c r="BS217" s="24"/>
      <c r="BT217" s="68"/>
      <c r="BU217" s="68"/>
      <c r="BV217" s="25"/>
      <c r="BW217" s="26"/>
      <c r="BX217" s="27"/>
      <c r="BY217" s="28"/>
      <c r="BZ217" s="28"/>
      <c r="CA217" s="28"/>
      <c r="CB217" s="28"/>
      <c r="CC217" s="28"/>
      <c r="CD217" s="28"/>
      <c r="CE217" s="28"/>
      <c r="CF217" s="28"/>
      <c r="CG217" s="28"/>
      <c r="CH217" s="28"/>
      <c r="CI217" s="28"/>
      <c r="CJ217" s="28"/>
      <c r="CK217" s="28"/>
      <c r="CL217" s="28"/>
      <c r="CM217" s="28"/>
      <c r="CN217" s="28"/>
      <c r="CO217" s="28"/>
      <c r="CP217" s="28"/>
      <c r="CQ217" s="28"/>
      <c r="CR217" s="28"/>
      <c r="CS217" s="28"/>
      <c r="CT217" s="28"/>
      <c r="CU217" s="28"/>
      <c r="CV217" s="28"/>
      <c r="CW217" s="28"/>
      <c r="CX217" s="28"/>
      <c r="CY217" s="28"/>
      <c r="CZ217" s="28"/>
      <c r="DA217" s="28"/>
      <c r="DB217" s="28"/>
      <c r="DC217" s="28"/>
      <c r="DD217" s="28"/>
      <c r="DE217" s="28"/>
      <c r="DF217" s="28"/>
      <c r="DG217" s="28"/>
      <c r="DH217" s="28"/>
      <c r="DI217" s="28"/>
      <c r="DJ217" s="28"/>
      <c r="DK217" s="29"/>
      <c r="DL217" s="29"/>
      <c r="DM217" s="29"/>
      <c r="DN217" s="29"/>
      <c r="DO217" s="29"/>
      <c r="DP217" s="29"/>
      <c r="DQ217" s="29"/>
      <c r="DR217" s="29"/>
      <c r="DS217" s="22"/>
      <c r="DT217" s="22"/>
      <c r="DU217" s="22"/>
      <c r="DV217" s="22"/>
    </row>
    <row r="218" spans="61:126" x14ac:dyDescent="0.25">
      <c r="BI218" s="22"/>
      <c r="BJ218" s="22"/>
      <c r="BK218" s="22"/>
      <c r="BL218" s="22"/>
      <c r="BM218" s="66"/>
      <c r="BN218" s="66"/>
      <c r="BO218" s="23"/>
      <c r="BP218" s="23"/>
      <c r="BQ218" s="23"/>
      <c r="BR218" s="24"/>
      <c r="BS218" s="24"/>
      <c r="BT218" s="68"/>
      <c r="BU218" s="68"/>
      <c r="BV218" s="25"/>
      <c r="BW218" s="26"/>
      <c r="BX218" s="27"/>
      <c r="BY218" s="28"/>
      <c r="BZ218" s="28"/>
      <c r="CA218" s="28"/>
      <c r="CB218" s="28"/>
      <c r="CC218" s="28"/>
      <c r="CD218" s="28"/>
      <c r="CE218" s="28"/>
      <c r="CF218" s="28"/>
      <c r="CG218" s="28"/>
      <c r="CH218" s="28"/>
      <c r="CI218" s="28"/>
      <c r="CJ218" s="28"/>
      <c r="CK218" s="28"/>
      <c r="CL218" s="28"/>
      <c r="CM218" s="28"/>
      <c r="CN218" s="28"/>
      <c r="CO218" s="28"/>
      <c r="CP218" s="28"/>
      <c r="CQ218" s="28"/>
      <c r="CR218" s="28"/>
      <c r="CS218" s="28"/>
      <c r="CT218" s="28"/>
      <c r="CU218" s="28"/>
      <c r="CV218" s="28"/>
      <c r="CW218" s="28"/>
      <c r="CX218" s="28"/>
      <c r="CY218" s="28"/>
      <c r="CZ218" s="28"/>
      <c r="DA218" s="28"/>
      <c r="DB218" s="28"/>
      <c r="DC218" s="28"/>
      <c r="DD218" s="28"/>
      <c r="DE218" s="28"/>
      <c r="DF218" s="28"/>
      <c r="DG218" s="28"/>
      <c r="DH218" s="28"/>
      <c r="DI218" s="28"/>
      <c r="DJ218" s="28"/>
      <c r="DK218" s="29"/>
      <c r="DL218" s="29"/>
      <c r="DM218" s="29"/>
      <c r="DN218" s="29"/>
      <c r="DO218" s="29"/>
      <c r="DP218" s="29"/>
      <c r="DQ218" s="29"/>
      <c r="DR218" s="29"/>
      <c r="DS218" s="22"/>
      <c r="DT218" s="22"/>
      <c r="DU218" s="22"/>
      <c r="DV218" s="22"/>
    </row>
    <row r="219" spans="61:126" x14ac:dyDescent="0.25">
      <c r="BI219" s="22"/>
      <c r="BJ219" s="22"/>
      <c r="BK219" s="22"/>
      <c r="BL219" s="22"/>
      <c r="BM219" s="66"/>
      <c r="BN219" s="66"/>
      <c r="BO219" s="23"/>
      <c r="BP219" s="23"/>
      <c r="BQ219" s="23"/>
      <c r="BR219" s="24"/>
      <c r="BS219" s="24"/>
      <c r="BT219" s="68"/>
      <c r="BU219" s="68"/>
      <c r="BV219" s="25"/>
      <c r="BW219" s="26"/>
      <c r="BX219" s="27"/>
      <c r="BY219" s="28"/>
      <c r="BZ219" s="28"/>
      <c r="CA219" s="28"/>
      <c r="CB219" s="28"/>
      <c r="CC219" s="28"/>
      <c r="CD219" s="28"/>
      <c r="CE219" s="28"/>
      <c r="CF219" s="28"/>
      <c r="CG219" s="28"/>
      <c r="CH219" s="28"/>
      <c r="CI219" s="28"/>
      <c r="CJ219" s="28"/>
      <c r="CK219" s="28"/>
      <c r="CL219" s="28"/>
      <c r="CM219" s="28"/>
      <c r="CN219" s="28"/>
      <c r="CO219" s="28"/>
      <c r="CP219" s="28"/>
      <c r="CQ219" s="28"/>
      <c r="CR219" s="28"/>
      <c r="CS219" s="28"/>
      <c r="CT219" s="28"/>
      <c r="CU219" s="28"/>
      <c r="CV219" s="28"/>
      <c r="CW219" s="28"/>
      <c r="CX219" s="28"/>
      <c r="CY219" s="28"/>
      <c r="CZ219" s="28"/>
      <c r="DA219" s="28"/>
      <c r="DB219" s="28"/>
      <c r="DC219" s="28"/>
      <c r="DD219" s="28"/>
      <c r="DE219" s="28"/>
      <c r="DF219" s="28"/>
      <c r="DG219" s="28"/>
      <c r="DH219" s="28"/>
      <c r="DI219" s="28"/>
      <c r="DJ219" s="28"/>
      <c r="DK219" s="29"/>
      <c r="DL219" s="29"/>
      <c r="DM219" s="29"/>
      <c r="DN219" s="29"/>
      <c r="DO219" s="29"/>
      <c r="DP219" s="29"/>
      <c r="DQ219" s="29"/>
      <c r="DR219" s="29"/>
      <c r="DS219" s="22"/>
      <c r="DT219" s="22"/>
      <c r="DU219" s="22"/>
      <c r="DV219" s="22"/>
    </row>
    <row r="220" spans="61:126" x14ac:dyDescent="0.25">
      <c r="BI220" s="22"/>
      <c r="BJ220" s="22"/>
      <c r="BK220" s="22"/>
      <c r="BL220" s="22"/>
      <c r="BM220" s="66"/>
      <c r="BN220" s="66"/>
      <c r="BO220" s="23"/>
      <c r="BP220" s="23"/>
      <c r="BQ220" s="23"/>
      <c r="BR220" s="24"/>
      <c r="BS220" s="24"/>
      <c r="BT220" s="68"/>
      <c r="BU220" s="68"/>
      <c r="BV220" s="25"/>
      <c r="BW220" s="26"/>
      <c r="BX220" s="27"/>
      <c r="BY220" s="28"/>
      <c r="BZ220" s="28"/>
      <c r="CA220" s="28"/>
      <c r="CB220" s="28"/>
      <c r="CC220" s="28"/>
      <c r="CD220" s="28"/>
      <c r="CE220" s="28"/>
      <c r="CF220" s="28"/>
      <c r="CG220" s="28"/>
      <c r="CH220" s="28"/>
      <c r="CI220" s="28"/>
      <c r="CJ220" s="28"/>
      <c r="CK220" s="28"/>
      <c r="CL220" s="28"/>
      <c r="CM220" s="28"/>
      <c r="CN220" s="28"/>
      <c r="CO220" s="28"/>
      <c r="CP220" s="28"/>
      <c r="CQ220" s="28"/>
      <c r="CR220" s="28"/>
      <c r="CS220" s="28"/>
      <c r="CT220" s="28"/>
      <c r="CU220" s="28"/>
      <c r="CV220" s="28"/>
      <c r="CW220" s="28"/>
      <c r="CX220" s="28"/>
      <c r="CY220" s="28"/>
      <c r="CZ220" s="28"/>
      <c r="DA220" s="28"/>
      <c r="DB220" s="28"/>
      <c r="DC220" s="28"/>
      <c r="DD220" s="28"/>
      <c r="DE220" s="28"/>
      <c r="DF220" s="28"/>
      <c r="DG220" s="28"/>
      <c r="DH220" s="28"/>
      <c r="DI220" s="28"/>
      <c r="DJ220" s="28"/>
      <c r="DK220" s="29"/>
      <c r="DL220" s="29"/>
      <c r="DM220" s="29"/>
      <c r="DN220" s="29"/>
      <c r="DO220" s="29"/>
      <c r="DP220" s="29"/>
      <c r="DQ220" s="29"/>
      <c r="DR220" s="29"/>
      <c r="DS220" s="22"/>
      <c r="DT220" s="22"/>
      <c r="DU220" s="22"/>
      <c r="DV220" s="22"/>
    </row>
    <row r="221" spans="61:126" x14ac:dyDescent="0.25">
      <c r="BI221" s="22"/>
      <c r="BJ221" s="22"/>
      <c r="BK221" s="22"/>
      <c r="BL221" s="22"/>
      <c r="BM221" s="66"/>
      <c r="BN221" s="66"/>
      <c r="BO221" s="23"/>
      <c r="BP221" s="23"/>
      <c r="BQ221" s="23"/>
      <c r="BR221" s="24"/>
      <c r="BS221" s="24"/>
      <c r="BT221" s="68"/>
      <c r="BU221" s="68"/>
      <c r="BV221" s="25"/>
      <c r="BW221" s="26"/>
      <c r="BX221" s="27"/>
      <c r="BY221" s="28"/>
      <c r="BZ221" s="28"/>
      <c r="CA221" s="28"/>
      <c r="CB221" s="28"/>
      <c r="CC221" s="28"/>
      <c r="CD221" s="28"/>
      <c r="CE221" s="28"/>
      <c r="CF221" s="28"/>
      <c r="CG221" s="28"/>
      <c r="CH221" s="28"/>
      <c r="CI221" s="28"/>
      <c r="CJ221" s="28"/>
      <c r="CK221" s="28"/>
      <c r="CL221" s="28"/>
      <c r="CM221" s="28"/>
      <c r="CN221" s="28"/>
      <c r="CO221" s="28"/>
      <c r="CP221" s="28"/>
      <c r="CQ221" s="28"/>
      <c r="CR221" s="28"/>
      <c r="CS221" s="28"/>
      <c r="CT221" s="28"/>
      <c r="CU221" s="28"/>
      <c r="CV221" s="28"/>
      <c r="CW221" s="28"/>
      <c r="CX221" s="28"/>
      <c r="CY221" s="28"/>
      <c r="CZ221" s="28"/>
      <c r="DA221" s="28"/>
      <c r="DB221" s="28"/>
      <c r="DC221" s="28"/>
      <c r="DD221" s="28"/>
      <c r="DE221" s="28"/>
      <c r="DF221" s="28"/>
      <c r="DG221" s="28"/>
      <c r="DH221" s="28"/>
      <c r="DI221" s="28"/>
      <c r="DJ221" s="28"/>
      <c r="DK221" s="29"/>
      <c r="DL221" s="29"/>
      <c r="DM221" s="29"/>
      <c r="DN221" s="29"/>
      <c r="DO221" s="29"/>
      <c r="DP221" s="29"/>
      <c r="DQ221" s="29"/>
      <c r="DR221" s="29"/>
      <c r="DS221" s="22"/>
      <c r="DT221" s="22"/>
      <c r="DU221" s="22"/>
      <c r="DV221" s="22"/>
    </row>
    <row r="222" spans="61:126" x14ac:dyDescent="0.25">
      <c r="BI222" s="22"/>
      <c r="BJ222" s="22"/>
      <c r="BK222" s="22"/>
      <c r="BL222" s="22"/>
      <c r="BM222" s="66"/>
      <c r="BN222" s="66"/>
      <c r="BO222" s="23"/>
      <c r="BP222" s="23"/>
      <c r="BQ222" s="23"/>
      <c r="BR222" s="24"/>
      <c r="BS222" s="24"/>
      <c r="BT222" s="68"/>
      <c r="BU222" s="68"/>
      <c r="BV222" s="25"/>
      <c r="BW222" s="26"/>
      <c r="BX222" s="27"/>
      <c r="BY222" s="28"/>
      <c r="BZ222" s="28"/>
      <c r="CA222" s="28"/>
      <c r="CB222" s="28"/>
      <c r="CC222" s="28"/>
      <c r="CD222" s="28"/>
      <c r="CE222" s="28"/>
      <c r="CF222" s="28"/>
      <c r="CG222" s="28"/>
      <c r="CH222" s="28"/>
      <c r="CI222" s="28"/>
      <c r="CJ222" s="28"/>
      <c r="CK222" s="28"/>
      <c r="CL222" s="28"/>
      <c r="CM222" s="28"/>
      <c r="CN222" s="28"/>
      <c r="CO222" s="28"/>
      <c r="CP222" s="28"/>
      <c r="CQ222" s="28"/>
      <c r="CR222" s="28"/>
      <c r="CS222" s="28"/>
      <c r="CT222" s="28"/>
      <c r="CU222" s="28"/>
      <c r="CV222" s="28"/>
      <c r="CW222" s="28"/>
      <c r="CX222" s="28"/>
      <c r="CY222" s="28"/>
      <c r="CZ222" s="28"/>
      <c r="DA222" s="28"/>
      <c r="DB222" s="28"/>
      <c r="DC222" s="28"/>
      <c r="DD222" s="28"/>
      <c r="DE222" s="28"/>
      <c r="DF222" s="28"/>
      <c r="DG222" s="28"/>
      <c r="DH222" s="28"/>
      <c r="DI222" s="28"/>
      <c r="DJ222" s="28"/>
      <c r="DK222" s="29"/>
      <c r="DL222" s="29"/>
      <c r="DM222" s="29"/>
      <c r="DN222" s="29"/>
      <c r="DO222" s="29"/>
      <c r="DP222" s="29"/>
      <c r="DQ222" s="29"/>
      <c r="DR222" s="29"/>
      <c r="DS222" s="22"/>
      <c r="DT222" s="22"/>
      <c r="DU222" s="22"/>
      <c r="DV222" s="22"/>
    </row>
    <row r="223" spans="61:126" x14ac:dyDescent="0.25">
      <c r="BI223" s="22"/>
      <c r="BJ223" s="22"/>
      <c r="BK223" s="22"/>
      <c r="BL223" s="22"/>
      <c r="BM223" s="66"/>
      <c r="BN223" s="66"/>
      <c r="BO223" s="23"/>
      <c r="BP223" s="23"/>
      <c r="BQ223" s="23"/>
      <c r="BR223" s="24"/>
      <c r="BS223" s="24"/>
      <c r="BT223" s="68"/>
      <c r="BU223" s="68"/>
      <c r="BV223" s="25"/>
      <c r="BW223" s="26"/>
      <c r="BX223" s="27"/>
      <c r="BY223" s="28"/>
      <c r="BZ223" s="28"/>
      <c r="CA223" s="28"/>
      <c r="CB223" s="28"/>
      <c r="CC223" s="28"/>
      <c r="CD223" s="28"/>
      <c r="CE223" s="28"/>
      <c r="CF223" s="28"/>
      <c r="CG223" s="28"/>
      <c r="CH223" s="28"/>
      <c r="CI223" s="28"/>
      <c r="CJ223" s="28"/>
      <c r="CK223" s="28"/>
      <c r="CL223" s="28"/>
      <c r="CM223" s="28"/>
      <c r="CN223" s="28"/>
      <c r="CO223" s="28"/>
      <c r="CP223" s="28"/>
      <c r="CQ223" s="28"/>
      <c r="CR223" s="28"/>
      <c r="CS223" s="28"/>
      <c r="CT223" s="28"/>
      <c r="CU223" s="28"/>
      <c r="CV223" s="28"/>
      <c r="CW223" s="28"/>
      <c r="CX223" s="28"/>
      <c r="CY223" s="28"/>
      <c r="CZ223" s="28"/>
      <c r="DA223" s="28"/>
      <c r="DB223" s="28"/>
      <c r="DC223" s="28"/>
      <c r="DD223" s="28"/>
      <c r="DE223" s="28"/>
      <c r="DF223" s="28"/>
      <c r="DG223" s="28"/>
      <c r="DH223" s="28"/>
      <c r="DI223" s="28"/>
      <c r="DJ223" s="28"/>
      <c r="DK223" s="29"/>
      <c r="DL223" s="29"/>
      <c r="DM223" s="29"/>
      <c r="DN223" s="29"/>
      <c r="DO223" s="29"/>
      <c r="DP223" s="29"/>
      <c r="DQ223" s="29"/>
      <c r="DR223" s="29"/>
      <c r="DS223" s="22"/>
      <c r="DT223" s="22"/>
      <c r="DU223" s="22"/>
      <c r="DV223" s="22"/>
    </row>
    <row r="224" spans="61:126" x14ac:dyDescent="0.25">
      <c r="BI224" s="22"/>
      <c r="BJ224" s="22"/>
      <c r="BK224" s="22"/>
      <c r="BL224" s="22"/>
      <c r="BM224" s="66"/>
      <c r="BN224" s="66"/>
      <c r="BO224" s="23"/>
      <c r="BP224" s="23"/>
      <c r="BQ224" s="23"/>
      <c r="BR224" s="24"/>
      <c r="BS224" s="24"/>
      <c r="BT224" s="68"/>
      <c r="BU224" s="68"/>
      <c r="BV224" s="25"/>
      <c r="BW224" s="26"/>
      <c r="BX224" s="27"/>
      <c r="BY224" s="28"/>
      <c r="BZ224" s="28"/>
      <c r="CA224" s="28"/>
      <c r="CB224" s="28"/>
      <c r="CC224" s="28"/>
      <c r="CD224" s="28"/>
      <c r="CE224" s="28"/>
      <c r="CF224" s="28"/>
      <c r="CG224" s="28"/>
      <c r="CH224" s="28"/>
      <c r="CI224" s="28"/>
      <c r="CJ224" s="28"/>
      <c r="CK224" s="28"/>
      <c r="CL224" s="28"/>
      <c r="CM224" s="28"/>
      <c r="CN224" s="28"/>
      <c r="CO224" s="28"/>
      <c r="CP224" s="28"/>
      <c r="CQ224" s="28"/>
      <c r="CR224" s="28"/>
      <c r="CS224" s="28"/>
      <c r="CT224" s="28"/>
      <c r="CU224" s="28"/>
      <c r="CV224" s="28"/>
      <c r="CW224" s="28"/>
      <c r="CX224" s="28"/>
      <c r="CY224" s="28"/>
      <c r="CZ224" s="28"/>
      <c r="DA224" s="28"/>
      <c r="DB224" s="28"/>
      <c r="DC224" s="28"/>
      <c r="DD224" s="28"/>
      <c r="DE224" s="28"/>
      <c r="DF224" s="28"/>
      <c r="DG224" s="28"/>
      <c r="DH224" s="28"/>
      <c r="DI224" s="28"/>
      <c r="DJ224" s="28"/>
      <c r="DK224" s="29"/>
      <c r="DL224" s="29"/>
      <c r="DM224" s="29"/>
      <c r="DN224" s="29"/>
      <c r="DO224" s="29"/>
      <c r="DP224" s="29"/>
      <c r="DQ224" s="29"/>
      <c r="DR224" s="29"/>
      <c r="DS224" s="22"/>
      <c r="DT224" s="22"/>
      <c r="DU224" s="22"/>
      <c r="DV224" s="22"/>
    </row>
    <row r="225" spans="61:126" x14ac:dyDescent="0.25">
      <c r="BI225" s="22"/>
      <c r="BJ225" s="22"/>
      <c r="BK225" s="22"/>
      <c r="BL225" s="22"/>
      <c r="BM225" s="66"/>
      <c r="BN225" s="66"/>
      <c r="BO225" s="23"/>
      <c r="BP225" s="23"/>
      <c r="BQ225" s="23"/>
      <c r="BR225" s="24"/>
      <c r="BS225" s="24"/>
      <c r="BT225" s="68"/>
      <c r="BU225" s="68"/>
      <c r="BV225" s="25"/>
      <c r="BW225" s="26"/>
      <c r="BX225" s="27"/>
      <c r="BY225" s="28"/>
      <c r="BZ225" s="28"/>
      <c r="CA225" s="28"/>
      <c r="CB225" s="28"/>
      <c r="CC225" s="28"/>
      <c r="CD225" s="28"/>
      <c r="CE225" s="28"/>
      <c r="CF225" s="28"/>
      <c r="CG225" s="28"/>
      <c r="CH225" s="28"/>
      <c r="CI225" s="28"/>
      <c r="CJ225" s="28"/>
      <c r="CK225" s="28"/>
      <c r="CL225" s="28"/>
      <c r="CM225" s="28"/>
      <c r="CN225" s="28"/>
      <c r="CO225" s="28"/>
      <c r="CP225" s="28"/>
      <c r="CQ225" s="28"/>
      <c r="CR225" s="28"/>
      <c r="CS225" s="28"/>
      <c r="CT225" s="28"/>
      <c r="CU225" s="28"/>
      <c r="CV225" s="28"/>
      <c r="CW225" s="28"/>
      <c r="CX225" s="28"/>
      <c r="CY225" s="28"/>
      <c r="CZ225" s="28"/>
      <c r="DA225" s="28"/>
      <c r="DB225" s="28"/>
      <c r="DC225" s="28"/>
      <c r="DD225" s="28"/>
      <c r="DE225" s="28"/>
      <c r="DF225" s="28"/>
      <c r="DG225" s="28"/>
      <c r="DH225" s="28"/>
      <c r="DI225" s="28"/>
      <c r="DJ225" s="28"/>
      <c r="DK225" s="29"/>
      <c r="DL225" s="29"/>
      <c r="DM225" s="29"/>
      <c r="DN225" s="29"/>
      <c r="DO225" s="29"/>
      <c r="DP225" s="29"/>
      <c r="DQ225" s="29"/>
      <c r="DR225" s="29"/>
      <c r="DS225" s="22"/>
      <c r="DT225" s="22"/>
      <c r="DU225" s="22"/>
      <c r="DV225" s="22"/>
    </row>
    <row r="226" spans="61:126" x14ac:dyDescent="0.25">
      <c r="BI226" s="22"/>
      <c r="BJ226" s="22"/>
      <c r="BK226" s="22"/>
      <c r="BL226" s="22"/>
      <c r="BM226" s="66"/>
      <c r="BN226" s="66"/>
      <c r="BO226" s="23"/>
      <c r="BP226" s="23"/>
      <c r="BQ226" s="23"/>
      <c r="BR226" s="24"/>
      <c r="BS226" s="24"/>
      <c r="BT226" s="68"/>
      <c r="BU226" s="68"/>
      <c r="BV226" s="25"/>
      <c r="BW226" s="26"/>
      <c r="BX226" s="27"/>
      <c r="BY226" s="28"/>
      <c r="BZ226" s="28"/>
      <c r="CA226" s="28"/>
      <c r="CB226" s="28"/>
      <c r="CC226" s="28"/>
      <c r="CD226" s="28"/>
      <c r="CE226" s="28"/>
      <c r="CF226" s="28"/>
      <c r="CG226" s="28"/>
      <c r="CH226" s="28"/>
      <c r="CI226" s="28"/>
      <c r="CJ226" s="28"/>
      <c r="CK226" s="28"/>
      <c r="CL226" s="28"/>
      <c r="CM226" s="28"/>
      <c r="CN226" s="28"/>
      <c r="CO226" s="28"/>
      <c r="CP226" s="28"/>
      <c r="CQ226" s="28"/>
      <c r="CR226" s="28"/>
      <c r="CS226" s="28"/>
      <c r="CT226" s="28"/>
      <c r="CU226" s="28"/>
      <c r="CV226" s="28"/>
      <c r="CW226" s="28"/>
      <c r="CX226" s="28"/>
      <c r="CY226" s="28"/>
      <c r="CZ226" s="28"/>
      <c r="DA226" s="28"/>
      <c r="DB226" s="28"/>
      <c r="DC226" s="28"/>
      <c r="DD226" s="28"/>
      <c r="DE226" s="28"/>
      <c r="DF226" s="28"/>
      <c r="DG226" s="28"/>
      <c r="DH226" s="28"/>
      <c r="DI226" s="28"/>
      <c r="DJ226" s="28"/>
      <c r="DK226" s="29"/>
      <c r="DL226" s="29"/>
      <c r="DM226" s="29"/>
      <c r="DN226" s="29"/>
      <c r="DO226" s="29"/>
      <c r="DP226" s="29"/>
      <c r="DQ226" s="29"/>
      <c r="DR226" s="29"/>
      <c r="DS226" s="22"/>
      <c r="DT226" s="22"/>
      <c r="DU226" s="22"/>
      <c r="DV226" s="22"/>
    </row>
    <row r="227" spans="61:126" x14ac:dyDescent="0.25">
      <c r="BI227" s="22"/>
      <c r="BJ227" s="22"/>
      <c r="BK227" s="22"/>
      <c r="BL227" s="22"/>
      <c r="BM227" s="66"/>
      <c r="BN227" s="66"/>
      <c r="BO227" s="23"/>
      <c r="BP227" s="23"/>
      <c r="BQ227" s="23"/>
      <c r="BR227" s="24"/>
      <c r="BS227" s="24"/>
      <c r="BT227" s="68"/>
      <c r="BU227" s="68"/>
      <c r="BV227" s="25"/>
      <c r="BW227" s="26"/>
      <c r="BX227" s="27"/>
      <c r="BY227" s="28"/>
      <c r="BZ227" s="28"/>
      <c r="CA227" s="28"/>
      <c r="CB227" s="28"/>
      <c r="CC227" s="28"/>
      <c r="CD227" s="28"/>
      <c r="CE227" s="28"/>
      <c r="CF227" s="28"/>
      <c r="CG227" s="28"/>
      <c r="CH227" s="28"/>
      <c r="CI227" s="28"/>
      <c r="CJ227" s="28"/>
      <c r="CK227" s="28"/>
      <c r="CL227" s="28"/>
      <c r="CM227" s="28"/>
      <c r="CN227" s="28"/>
      <c r="CO227" s="28"/>
      <c r="CP227" s="28"/>
      <c r="CQ227" s="28"/>
      <c r="CR227" s="28"/>
      <c r="CS227" s="28"/>
      <c r="CT227" s="28"/>
      <c r="CU227" s="28"/>
      <c r="CV227" s="28"/>
      <c r="CW227" s="28"/>
      <c r="CX227" s="28"/>
      <c r="CY227" s="28"/>
      <c r="CZ227" s="28"/>
      <c r="DA227" s="28"/>
      <c r="DB227" s="28"/>
      <c r="DC227" s="28"/>
      <c r="DD227" s="28"/>
      <c r="DE227" s="28"/>
      <c r="DF227" s="28"/>
      <c r="DG227" s="28"/>
      <c r="DH227" s="28"/>
      <c r="DI227" s="28"/>
      <c r="DJ227" s="28"/>
      <c r="DK227" s="29"/>
      <c r="DL227" s="29"/>
      <c r="DM227" s="29"/>
      <c r="DN227" s="29"/>
      <c r="DO227" s="29"/>
      <c r="DP227" s="29"/>
      <c r="DQ227" s="29"/>
      <c r="DR227" s="29"/>
      <c r="DS227" s="22"/>
      <c r="DT227" s="22"/>
      <c r="DU227" s="22"/>
      <c r="DV227" s="22"/>
    </row>
    <row r="228" spans="61:126" x14ac:dyDescent="0.25">
      <c r="BI228" s="22"/>
      <c r="BJ228" s="22"/>
      <c r="BK228" s="22"/>
      <c r="BL228" s="22"/>
      <c r="BM228" s="66"/>
      <c r="BN228" s="66"/>
      <c r="BO228" s="23"/>
      <c r="BP228" s="23"/>
      <c r="BQ228" s="23"/>
      <c r="BR228" s="24"/>
      <c r="BS228" s="24"/>
      <c r="BT228" s="68"/>
      <c r="BU228" s="68"/>
      <c r="BV228" s="25"/>
      <c r="BW228" s="26"/>
      <c r="BX228" s="27"/>
      <c r="BY228" s="28"/>
      <c r="BZ228" s="28"/>
      <c r="CA228" s="28"/>
      <c r="CB228" s="28"/>
      <c r="CC228" s="28"/>
      <c r="CD228" s="28"/>
      <c r="CE228" s="28"/>
      <c r="CF228" s="28"/>
      <c r="CG228" s="28"/>
      <c r="CH228" s="28"/>
      <c r="CI228" s="28"/>
      <c r="CJ228" s="28"/>
      <c r="CK228" s="28"/>
      <c r="CL228" s="28"/>
      <c r="CM228" s="28"/>
      <c r="CN228" s="28"/>
      <c r="CO228" s="28"/>
      <c r="CP228" s="28"/>
      <c r="CQ228" s="28"/>
      <c r="CR228" s="28"/>
      <c r="CS228" s="28"/>
      <c r="CT228" s="28"/>
      <c r="CU228" s="28"/>
      <c r="CV228" s="28"/>
      <c r="CW228" s="28"/>
      <c r="CX228" s="28"/>
      <c r="CY228" s="28"/>
      <c r="CZ228" s="28"/>
      <c r="DA228" s="28"/>
      <c r="DB228" s="28"/>
      <c r="DC228" s="28"/>
      <c r="DD228" s="28"/>
      <c r="DE228" s="28"/>
      <c r="DF228" s="28"/>
      <c r="DG228" s="28"/>
      <c r="DH228" s="28"/>
      <c r="DI228" s="28"/>
      <c r="DJ228" s="28"/>
      <c r="DK228" s="29"/>
      <c r="DL228" s="29"/>
      <c r="DM228" s="29"/>
      <c r="DN228" s="29"/>
      <c r="DO228" s="29"/>
      <c r="DP228" s="29"/>
      <c r="DQ228" s="29"/>
      <c r="DR228" s="29"/>
      <c r="DS228" s="22"/>
      <c r="DT228" s="22"/>
      <c r="DU228" s="22"/>
      <c r="DV228" s="22"/>
    </row>
    <row r="229" spans="61:126" x14ac:dyDescent="0.25">
      <c r="BI229" s="22"/>
      <c r="BJ229" s="22"/>
      <c r="BK229" s="22"/>
      <c r="BL229" s="22"/>
      <c r="BM229" s="66"/>
      <c r="BN229" s="66"/>
      <c r="BO229" s="23"/>
      <c r="BP229" s="23"/>
      <c r="BQ229" s="23"/>
      <c r="BR229" s="24"/>
      <c r="BS229" s="24"/>
      <c r="BT229" s="68"/>
      <c r="BU229" s="68"/>
      <c r="BV229" s="25"/>
      <c r="BW229" s="26"/>
      <c r="BX229" s="27"/>
      <c r="BY229" s="28"/>
      <c r="BZ229" s="28"/>
      <c r="CA229" s="28"/>
      <c r="CB229" s="28"/>
      <c r="CC229" s="28"/>
      <c r="CD229" s="28"/>
      <c r="CE229" s="28"/>
      <c r="CF229" s="28"/>
      <c r="CG229" s="28"/>
      <c r="CH229" s="28"/>
      <c r="CI229" s="28"/>
      <c r="CJ229" s="28"/>
      <c r="CK229" s="28"/>
      <c r="CL229" s="28"/>
      <c r="CM229" s="28"/>
      <c r="CN229" s="28"/>
      <c r="CO229" s="28"/>
      <c r="CP229" s="28"/>
      <c r="CQ229" s="28"/>
      <c r="CR229" s="28"/>
      <c r="CS229" s="28"/>
      <c r="CT229" s="28"/>
      <c r="CU229" s="28"/>
      <c r="CV229" s="28"/>
      <c r="CW229" s="28"/>
      <c r="CX229" s="28"/>
      <c r="CY229" s="28"/>
      <c r="CZ229" s="28"/>
      <c r="DA229" s="28"/>
      <c r="DB229" s="28"/>
      <c r="DC229" s="28"/>
      <c r="DD229" s="28"/>
      <c r="DE229" s="28"/>
      <c r="DF229" s="28"/>
      <c r="DG229" s="28"/>
      <c r="DH229" s="28"/>
      <c r="DI229" s="28"/>
      <c r="DJ229" s="28"/>
      <c r="DK229" s="29"/>
      <c r="DL229" s="29"/>
      <c r="DM229" s="29"/>
      <c r="DN229" s="29"/>
      <c r="DO229" s="29"/>
      <c r="DP229" s="29"/>
      <c r="DQ229" s="29"/>
      <c r="DR229" s="29"/>
      <c r="DS229" s="22"/>
      <c r="DT229" s="22"/>
      <c r="DU229" s="22"/>
      <c r="DV229" s="22"/>
    </row>
    <row r="230" spans="61:126" x14ac:dyDescent="0.25">
      <c r="BI230" s="22"/>
      <c r="BJ230" s="22"/>
      <c r="BK230" s="22"/>
      <c r="BL230" s="22"/>
      <c r="BM230" s="66"/>
      <c r="BN230" s="66"/>
      <c r="BO230" s="23"/>
      <c r="BP230" s="23"/>
      <c r="BQ230" s="23"/>
      <c r="BR230" s="24"/>
      <c r="BS230" s="24"/>
      <c r="BT230" s="68"/>
      <c r="BU230" s="68"/>
      <c r="BV230" s="25"/>
      <c r="BW230" s="26"/>
      <c r="BX230" s="27"/>
      <c r="BY230" s="28"/>
      <c r="BZ230" s="28"/>
      <c r="CA230" s="28"/>
      <c r="CB230" s="28"/>
      <c r="CC230" s="28"/>
      <c r="CD230" s="28"/>
      <c r="CE230" s="28"/>
      <c r="CF230" s="28"/>
      <c r="CG230" s="28"/>
      <c r="CH230" s="28"/>
      <c r="CI230" s="28"/>
      <c r="CJ230" s="28"/>
      <c r="CK230" s="28"/>
      <c r="CL230" s="28"/>
      <c r="CM230" s="28"/>
      <c r="CN230" s="28"/>
      <c r="CO230" s="28"/>
      <c r="CP230" s="28"/>
      <c r="CQ230" s="28"/>
      <c r="CR230" s="28"/>
      <c r="CS230" s="28"/>
      <c r="CT230" s="28"/>
      <c r="CU230" s="28"/>
      <c r="CV230" s="28"/>
      <c r="CW230" s="28"/>
      <c r="CX230" s="28"/>
      <c r="CY230" s="28"/>
      <c r="CZ230" s="28"/>
      <c r="DA230" s="28"/>
      <c r="DB230" s="28"/>
      <c r="DC230" s="28"/>
      <c r="DD230" s="28"/>
      <c r="DE230" s="28"/>
      <c r="DF230" s="28"/>
      <c r="DG230" s="28"/>
      <c r="DH230" s="28"/>
      <c r="DI230" s="28"/>
      <c r="DJ230" s="28"/>
      <c r="DK230" s="29"/>
      <c r="DL230" s="29"/>
      <c r="DM230" s="29"/>
      <c r="DN230" s="29"/>
      <c r="DO230" s="29"/>
      <c r="DP230" s="29"/>
      <c r="DQ230" s="29"/>
      <c r="DR230" s="29"/>
      <c r="DS230" s="22"/>
      <c r="DT230" s="22"/>
      <c r="DU230" s="22"/>
      <c r="DV230" s="22"/>
    </row>
    <row r="231" spans="61:126" x14ac:dyDescent="0.25">
      <c r="BI231" s="22"/>
      <c r="BJ231" s="22"/>
      <c r="BK231" s="22"/>
      <c r="BL231" s="22"/>
      <c r="BM231" s="66"/>
      <c r="BN231" s="66"/>
      <c r="BO231" s="23"/>
      <c r="BP231" s="23"/>
      <c r="BQ231" s="23"/>
      <c r="BR231" s="24"/>
      <c r="BS231" s="24"/>
      <c r="BT231" s="68"/>
      <c r="BU231" s="68"/>
      <c r="BV231" s="25"/>
      <c r="BW231" s="26"/>
      <c r="BX231" s="27"/>
      <c r="BY231" s="28"/>
      <c r="BZ231" s="28"/>
      <c r="CA231" s="28"/>
      <c r="CB231" s="28"/>
      <c r="CC231" s="28"/>
      <c r="CD231" s="28"/>
      <c r="CE231" s="28"/>
      <c r="CF231" s="28"/>
      <c r="CG231" s="28"/>
      <c r="CH231" s="28"/>
      <c r="CI231" s="28"/>
      <c r="CJ231" s="28"/>
      <c r="CK231" s="28"/>
      <c r="CL231" s="28"/>
      <c r="CM231" s="28"/>
      <c r="CN231" s="28"/>
      <c r="CO231" s="28"/>
      <c r="CP231" s="28"/>
      <c r="CQ231" s="28"/>
      <c r="CR231" s="28"/>
      <c r="CS231" s="28"/>
      <c r="CT231" s="28"/>
      <c r="CU231" s="28"/>
      <c r="CV231" s="28"/>
      <c r="CW231" s="28"/>
      <c r="CX231" s="28"/>
      <c r="CY231" s="28"/>
      <c r="CZ231" s="28"/>
      <c r="DA231" s="28"/>
      <c r="DB231" s="28"/>
      <c r="DC231" s="28"/>
      <c r="DD231" s="28"/>
      <c r="DE231" s="28"/>
      <c r="DF231" s="28"/>
      <c r="DG231" s="28"/>
      <c r="DH231" s="28"/>
      <c r="DI231" s="28"/>
      <c r="DJ231" s="28"/>
      <c r="DK231" s="29"/>
      <c r="DL231" s="29"/>
      <c r="DM231" s="29"/>
      <c r="DN231" s="29"/>
      <c r="DO231" s="29"/>
      <c r="DP231" s="29"/>
      <c r="DQ231" s="29"/>
      <c r="DR231" s="29"/>
      <c r="DS231" s="22"/>
      <c r="DT231" s="22"/>
      <c r="DU231" s="22"/>
      <c r="DV231" s="22"/>
    </row>
    <row r="232" spans="61:126" x14ac:dyDescent="0.25">
      <c r="BI232" s="22"/>
      <c r="BJ232" s="22"/>
      <c r="BK232" s="22"/>
      <c r="BL232" s="22"/>
      <c r="BM232" s="66"/>
      <c r="BN232" s="66"/>
      <c r="BO232" s="23"/>
      <c r="BP232" s="23"/>
      <c r="BQ232" s="23"/>
      <c r="BR232" s="24"/>
      <c r="BS232" s="24"/>
      <c r="BT232" s="68"/>
      <c r="BU232" s="68"/>
      <c r="BV232" s="25"/>
      <c r="BW232" s="26"/>
      <c r="BX232" s="27"/>
      <c r="BY232" s="28"/>
      <c r="BZ232" s="28"/>
      <c r="CA232" s="28"/>
      <c r="CB232" s="28"/>
      <c r="CC232" s="28"/>
      <c r="CD232" s="28"/>
      <c r="CE232" s="28"/>
      <c r="CF232" s="28"/>
      <c r="CG232" s="28"/>
      <c r="CH232" s="28"/>
      <c r="CI232" s="28"/>
      <c r="CJ232" s="28"/>
      <c r="CK232" s="28"/>
      <c r="CL232" s="28"/>
      <c r="CM232" s="28"/>
      <c r="CN232" s="28"/>
      <c r="CO232" s="28"/>
      <c r="CP232" s="28"/>
      <c r="CQ232" s="28"/>
      <c r="CR232" s="28"/>
      <c r="CS232" s="28"/>
      <c r="CT232" s="28"/>
      <c r="CU232" s="28"/>
      <c r="CV232" s="28"/>
      <c r="CW232" s="28"/>
      <c r="CX232" s="28"/>
      <c r="CY232" s="28"/>
      <c r="CZ232" s="28"/>
      <c r="DA232" s="28"/>
      <c r="DB232" s="28"/>
      <c r="DC232" s="28"/>
      <c r="DD232" s="28"/>
      <c r="DE232" s="28"/>
      <c r="DF232" s="28"/>
      <c r="DG232" s="28"/>
      <c r="DH232" s="28"/>
      <c r="DI232" s="28"/>
      <c r="DJ232" s="28"/>
      <c r="DK232" s="29"/>
      <c r="DL232" s="29"/>
      <c r="DM232" s="29"/>
      <c r="DN232" s="29"/>
      <c r="DO232" s="29"/>
      <c r="DP232" s="29"/>
      <c r="DQ232" s="29"/>
      <c r="DR232" s="29"/>
      <c r="DS232" s="22"/>
      <c r="DT232" s="22"/>
      <c r="DU232" s="22"/>
      <c r="DV232" s="22"/>
    </row>
    <row r="233" spans="61:126" x14ac:dyDescent="0.25">
      <c r="BI233" s="22"/>
      <c r="BJ233" s="22"/>
      <c r="BK233" s="22"/>
      <c r="BL233" s="22"/>
      <c r="BM233" s="66"/>
      <c r="BN233" s="66"/>
      <c r="BO233" s="23"/>
      <c r="BP233" s="23"/>
      <c r="BQ233" s="23"/>
      <c r="BR233" s="24"/>
      <c r="BS233" s="24"/>
      <c r="BT233" s="68"/>
      <c r="BU233" s="68"/>
      <c r="BV233" s="25"/>
      <c r="BW233" s="26"/>
      <c r="BX233" s="27"/>
      <c r="BY233" s="28"/>
      <c r="BZ233" s="28"/>
      <c r="CA233" s="28"/>
      <c r="CB233" s="28"/>
      <c r="CC233" s="28"/>
      <c r="CD233" s="28"/>
      <c r="CE233" s="28"/>
      <c r="CF233" s="28"/>
      <c r="CG233" s="28"/>
      <c r="CH233" s="28"/>
      <c r="CI233" s="28"/>
      <c r="CJ233" s="28"/>
      <c r="CK233" s="28"/>
      <c r="CL233" s="28"/>
      <c r="CM233" s="28"/>
      <c r="CN233" s="28"/>
      <c r="CO233" s="28"/>
      <c r="CP233" s="28"/>
      <c r="CQ233" s="28"/>
      <c r="CR233" s="28"/>
      <c r="CS233" s="28"/>
      <c r="CT233" s="28"/>
      <c r="CU233" s="28"/>
      <c r="CV233" s="28"/>
      <c r="CW233" s="28"/>
      <c r="CX233" s="28"/>
      <c r="CY233" s="28"/>
      <c r="CZ233" s="28"/>
      <c r="DA233" s="28"/>
      <c r="DB233" s="28"/>
      <c r="DC233" s="28"/>
      <c r="DD233" s="28"/>
      <c r="DE233" s="28"/>
      <c r="DF233" s="28"/>
      <c r="DG233" s="28"/>
      <c r="DH233" s="28"/>
      <c r="DI233" s="28"/>
      <c r="DJ233" s="28"/>
      <c r="DK233" s="29"/>
      <c r="DL233" s="29"/>
      <c r="DM233" s="29"/>
      <c r="DN233" s="29"/>
      <c r="DO233" s="29"/>
      <c r="DP233" s="29"/>
      <c r="DQ233" s="29"/>
      <c r="DR233" s="29"/>
      <c r="DS233" s="22"/>
      <c r="DT233" s="22"/>
      <c r="DU233" s="22"/>
      <c r="DV233" s="22"/>
    </row>
    <row r="234" spans="61:126" x14ac:dyDescent="0.25">
      <c r="BI234" s="22"/>
      <c r="BJ234" s="22"/>
      <c r="BK234" s="22"/>
      <c r="BL234" s="22"/>
      <c r="BM234" s="66"/>
      <c r="BN234" s="66"/>
      <c r="BO234" s="23"/>
      <c r="BP234" s="23"/>
      <c r="BQ234" s="23"/>
      <c r="BR234" s="24"/>
      <c r="BS234" s="24"/>
      <c r="BT234" s="68"/>
      <c r="BU234" s="68"/>
      <c r="BV234" s="25"/>
      <c r="BW234" s="26"/>
      <c r="BX234" s="27"/>
      <c r="BY234" s="28"/>
      <c r="BZ234" s="28"/>
      <c r="CA234" s="28"/>
      <c r="CB234" s="28"/>
      <c r="CC234" s="28"/>
      <c r="CD234" s="28"/>
      <c r="CE234" s="28"/>
      <c r="CF234" s="28"/>
      <c r="CG234" s="28"/>
      <c r="CH234" s="28"/>
      <c r="CI234" s="28"/>
      <c r="CJ234" s="28"/>
      <c r="CK234" s="28"/>
      <c r="CL234" s="28"/>
      <c r="CM234" s="28"/>
      <c r="CN234" s="28"/>
      <c r="CO234" s="28"/>
      <c r="CP234" s="28"/>
      <c r="CQ234" s="28"/>
      <c r="CR234" s="28"/>
      <c r="CS234" s="28"/>
      <c r="CT234" s="28"/>
      <c r="CU234" s="28"/>
      <c r="CV234" s="28"/>
      <c r="CW234" s="28"/>
      <c r="CX234" s="28"/>
      <c r="CY234" s="28"/>
      <c r="CZ234" s="28"/>
      <c r="DA234" s="28"/>
      <c r="DB234" s="28"/>
      <c r="DC234" s="28"/>
      <c r="DD234" s="28"/>
      <c r="DE234" s="28"/>
      <c r="DF234" s="28"/>
      <c r="DG234" s="28"/>
      <c r="DH234" s="28"/>
      <c r="DI234" s="28"/>
      <c r="DJ234" s="28"/>
      <c r="DK234" s="29"/>
      <c r="DL234" s="29"/>
      <c r="DM234" s="29"/>
      <c r="DN234" s="29"/>
      <c r="DO234" s="29"/>
      <c r="DP234" s="29"/>
      <c r="DQ234" s="29"/>
      <c r="DR234" s="29"/>
      <c r="DS234" s="22"/>
      <c r="DT234" s="22"/>
      <c r="DU234" s="22"/>
      <c r="DV234" s="22"/>
    </row>
    <row r="235" spans="61:126" x14ac:dyDescent="0.25">
      <c r="BI235" s="22"/>
      <c r="BJ235" s="22"/>
      <c r="BK235" s="22"/>
      <c r="BL235" s="22"/>
      <c r="BM235" s="66"/>
      <c r="BN235" s="66"/>
      <c r="BO235" s="23"/>
      <c r="BP235" s="23"/>
      <c r="BQ235" s="23"/>
      <c r="BR235" s="24"/>
      <c r="BS235" s="24"/>
      <c r="BT235" s="68"/>
      <c r="BU235" s="68"/>
      <c r="BV235" s="25"/>
      <c r="BW235" s="26"/>
      <c r="BX235" s="27"/>
      <c r="BY235" s="28"/>
      <c r="BZ235" s="28"/>
      <c r="CA235" s="28"/>
      <c r="CB235" s="28"/>
      <c r="CC235" s="28"/>
      <c r="CD235" s="28"/>
      <c r="CE235" s="28"/>
      <c r="CF235" s="28"/>
      <c r="CG235" s="28"/>
      <c r="CH235" s="28"/>
      <c r="CI235" s="28"/>
      <c r="CJ235" s="28"/>
      <c r="CK235" s="28"/>
      <c r="CL235" s="28"/>
      <c r="CM235" s="28"/>
      <c r="CN235" s="28"/>
      <c r="CO235" s="28"/>
      <c r="CP235" s="28"/>
      <c r="CQ235" s="28"/>
      <c r="CR235" s="28"/>
      <c r="CS235" s="28"/>
      <c r="CT235" s="28"/>
      <c r="CU235" s="28"/>
      <c r="CV235" s="28"/>
      <c r="CW235" s="28"/>
      <c r="CX235" s="28"/>
      <c r="CY235" s="28"/>
      <c r="CZ235" s="28"/>
      <c r="DA235" s="28"/>
      <c r="DB235" s="28"/>
      <c r="DC235" s="28"/>
      <c r="DD235" s="28"/>
      <c r="DE235" s="28"/>
      <c r="DF235" s="28"/>
      <c r="DG235" s="28"/>
      <c r="DH235" s="28"/>
      <c r="DI235" s="28"/>
      <c r="DJ235" s="28"/>
      <c r="DK235" s="29"/>
      <c r="DL235" s="29"/>
      <c r="DM235" s="29"/>
      <c r="DN235" s="29"/>
      <c r="DO235" s="29"/>
      <c r="DP235" s="29"/>
      <c r="DQ235" s="29"/>
      <c r="DR235" s="29"/>
      <c r="DS235" s="22"/>
      <c r="DT235" s="22"/>
      <c r="DU235" s="22"/>
      <c r="DV235" s="22"/>
    </row>
    <row r="236" spans="61:126" x14ac:dyDescent="0.25">
      <c r="BI236" s="22"/>
      <c r="BJ236" s="22"/>
      <c r="BK236" s="22"/>
      <c r="BL236" s="22"/>
      <c r="BM236" s="66"/>
      <c r="BN236" s="66"/>
      <c r="BO236" s="23"/>
      <c r="BP236" s="23"/>
      <c r="BQ236" s="23"/>
      <c r="BR236" s="24"/>
      <c r="BS236" s="24"/>
      <c r="BT236" s="68"/>
      <c r="BU236" s="68"/>
      <c r="BV236" s="25"/>
      <c r="BW236" s="26"/>
      <c r="BX236" s="27"/>
      <c r="BY236" s="28"/>
      <c r="BZ236" s="28"/>
      <c r="CA236" s="28"/>
      <c r="CB236" s="28"/>
      <c r="CC236" s="28"/>
      <c r="CD236" s="28"/>
      <c r="CE236" s="28"/>
      <c r="CF236" s="28"/>
      <c r="CG236" s="28"/>
      <c r="CH236" s="28"/>
      <c r="CI236" s="28"/>
      <c r="CJ236" s="28"/>
      <c r="CK236" s="28"/>
      <c r="CL236" s="28"/>
      <c r="CM236" s="28"/>
      <c r="CN236" s="28"/>
      <c r="CO236" s="28"/>
      <c r="CP236" s="28"/>
      <c r="CQ236" s="28"/>
      <c r="CR236" s="28"/>
      <c r="CS236" s="28"/>
      <c r="CT236" s="28"/>
      <c r="CU236" s="28"/>
      <c r="CV236" s="28"/>
      <c r="CW236" s="28"/>
      <c r="CX236" s="28"/>
      <c r="CY236" s="28"/>
      <c r="CZ236" s="28"/>
      <c r="DA236" s="28"/>
      <c r="DB236" s="28"/>
      <c r="DC236" s="28"/>
      <c r="DD236" s="28"/>
      <c r="DE236" s="28"/>
      <c r="DF236" s="28"/>
      <c r="DG236" s="28"/>
      <c r="DH236" s="28"/>
      <c r="DI236" s="28"/>
      <c r="DJ236" s="28"/>
      <c r="DK236" s="29"/>
      <c r="DL236" s="29"/>
      <c r="DM236" s="29"/>
      <c r="DN236" s="29"/>
      <c r="DO236" s="29"/>
      <c r="DP236" s="29"/>
      <c r="DQ236" s="29"/>
      <c r="DR236" s="29"/>
      <c r="DS236" s="22"/>
      <c r="DT236" s="22"/>
      <c r="DU236" s="22"/>
      <c r="DV236" s="22"/>
    </row>
    <row r="237" spans="61:126" x14ac:dyDescent="0.25">
      <c r="BI237" s="22"/>
      <c r="BJ237" s="22"/>
      <c r="BK237" s="22"/>
      <c r="BL237" s="22"/>
      <c r="BM237" s="66"/>
      <c r="BN237" s="66"/>
      <c r="BO237" s="23"/>
      <c r="BP237" s="23"/>
      <c r="BQ237" s="23"/>
      <c r="BR237" s="24"/>
      <c r="BS237" s="24"/>
      <c r="BT237" s="68"/>
      <c r="BU237" s="68"/>
      <c r="BV237" s="25"/>
      <c r="BW237" s="26"/>
      <c r="BX237" s="27"/>
      <c r="BY237" s="28"/>
      <c r="BZ237" s="28"/>
      <c r="CA237" s="28"/>
      <c r="CB237" s="28"/>
      <c r="CC237" s="28"/>
      <c r="CD237" s="28"/>
      <c r="CE237" s="28"/>
      <c r="CF237" s="28"/>
      <c r="CG237" s="28"/>
      <c r="CH237" s="28"/>
      <c r="CI237" s="28"/>
      <c r="CJ237" s="28"/>
      <c r="CK237" s="28"/>
      <c r="CL237" s="28"/>
      <c r="CM237" s="28"/>
      <c r="CN237" s="28"/>
      <c r="CO237" s="28"/>
      <c r="CP237" s="28"/>
      <c r="CQ237" s="28"/>
      <c r="CR237" s="28"/>
      <c r="CS237" s="28"/>
      <c r="CT237" s="28"/>
      <c r="CU237" s="28"/>
      <c r="CV237" s="28"/>
      <c r="CW237" s="28"/>
      <c r="CX237" s="28"/>
      <c r="CY237" s="28"/>
      <c r="CZ237" s="28"/>
      <c r="DA237" s="28"/>
      <c r="DB237" s="28"/>
      <c r="DC237" s="28"/>
      <c r="DD237" s="28"/>
      <c r="DE237" s="28"/>
      <c r="DF237" s="28"/>
      <c r="DG237" s="28"/>
      <c r="DH237" s="28"/>
      <c r="DI237" s="28"/>
      <c r="DJ237" s="28"/>
      <c r="DK237" s="29"/>
      <c r="DL237" s="29"/>
      <c r="DM237" s="29"/>
      <c r="DN237" s="29"/>
      <c r="DO237" s="29"/>
      <c r="DP237" s="29"/>
      <c r="DQ237" s="29"/>
      <c r="DR237" s="29"/>
      <c r="DS237" s="22"/>
      <c r="DT237" s="22"/>
      <c r="DU237" s="22"/>
      <c r="DV237" s="22"/>
    </row>
    <row r="238" spans="61:126" x14ac:dyDescent="0.25">
      <c r="BI238" s="22"/>
      <c r="BJ238" s="22"/>
      <c r="BK238" s="22"/>
      <c r="BL238" s="22"/>
      <c r="BM238" s="66"/>
      <c r="BN238" s="66"/>
      <c r="BO238" s="23"/>
      <c r="BP238" s="23"/>
      <c r="BQ238" s="23"/>
      <c r="BR238" s="24"/>
      <c r="BS238" s="24"/>
      <c r="BT238" s="68"/>
      <c r="BU238" s="68"/>
      <c r="BV238" s="25"/>
      <c r="BW238" s="26"/>
      <c r="BX238" s="27"/>
      <c r="BY238" s="28"/>
      <c r="BZ238" s="28"/>
      <c r="CA238" s="28"/>
      <c r="CB238" s="28"/>
      <c r="CC238" s="28"/>
      <c r="CD238" s="28"/>
      <c r="CE238" s="28"/>
      <c r="CF238" s="28"/>
      <c r="CG238" s="28"/>
      <c r="CH238" s="28"/>
      <c r="CI238" s="28"/>
      <c r="CJ238" s="28"/>
      <c r="CK238" s="28"/>
      <c r="CL238" s="28"/>
      <c r="CM238" s="28"/>
      <c r="CN238" s="28"/>
      <c r="CO238" s="28"/>
      <c r="CP238" s="28"/>
      <c r="CQ238" s="28"/>
      <c r="CR238" s="28"/>
      <c r="CS238" s="28"/>
      <c r="CT238" s="28"/>
      <c r="CU238" s="28"/>
      <c r="CV238" s="28"/>
      <c r="CW238" s="28"/>
      <c r="CX238" s="28"/>
      <c r="CY238" s="28"/>
      <c r="CZ238" s="28"/>
      <c r="DA238" s="28"/>
      <c r="DB238" s="28"/>
      <c r="DC238" s="28"/>
      <c r="DD238" s="28"/>
      <c r="DE238" s="28"/>
      <c r="DF238" s="28"/>
      <c r="DG238" s="28"/>
      <c r="DH238" s="28"/>
      <c r="DI238" s="28"/>
      <c r="DJ238" s="28"/>
      <c r="DK238" s="29"/>
      <c r="DL238" s="29"/>
      <c r="DM238" s="29"/>
      <c r="DN238" s="29"/>
      <c r="DO238" s="29"/>
      <c r="DP238" s="29"/>
      <c r="DQ238" s="29"/>
      <c r="DR238" s="29"/>
      <c r="DS238" s="22"/>
      <c r="DT238" s="22"/>
      <c r="DU238" s="22"/>
      <c r="DV238" s="22"/>
    </row>
    <row r="239" spans="61:126" x14ac:dyDescent="0.25">
      <c r="BI239" s="22"/>
      <c r="BJ239" s="22"/>
      <c r="BK239" s="22"/>
      <c r="BL239" s="22"/>
      <c r="BM239" s="66"/>
      <c r="BN239" s="66"/>
      <c r="BO239" s="23"/>
      <c r="BP239" s="23"/>
      <c r="BQ239" s="23"/>
      <c r="BR239" s="24"/>
      <c r="BS239" s="24"/>
      <c r="BT239" s="68"/>
      <c r="BU239" s="68"/>
      <c r="BV239" s="25"/>
      <c r="BW239" s="26"/>
      <c r="BX239" s="27"/>
      <c r="BY239" s="28"/>
      <c r="BZ239" s="28"/>
      <c r="CA239" s="28"/>
      <c r="CB239" s="28"/>
      <c r="CC239" s="28"/>
      <c r="CD239" s="28"/>
      <c r="CE239" s="28"/>
      <c r="CF239" s="28"/>
      <c r="CG239" s="28"/>
      <c r="CH239" s="28"/>
      <c r="CI239" s="28"/>
      <c r="CJ239" s="28"/>
      <c r="CK239" s="28"/>
      <c r="CL239" s="28"/>
      <c r="CM239" s="28"/>
      <c r="CN239" s="28"/>
      <c r="CO239" s="28"/>
      <c r="CP239" s="28"/>
      <c r="CQ239" s="28"/>
      <c r="CR239" s="28"/>
      <c r="CS239" s="28"/>
      <c r="CT239" s="28"/>
      <c r="CU239" s="28"/>
      <c r="CV239" s="28"/>
      <c r="CW239" s="28"/>
      <c r="CX239" s="28"/>
      <c r="CY239" s="28"/>
      <c r="CZ239" s="28"/>
      <c r="DA239" s="28"/>
      <c r="DB239" s="28"/>
      <c r="DC239" s="28"/>
      <c r="DD239" s="28"/>
      <c r="DE239" s="28"/>
      <c r="DF239" s="28"/>
      <c r="DG239" s="28"/>
      <c r="DH239" s="28"/>
      <c r="DI239" s="28"/>
      <c r="DJ239" s="28"/>
      <c r="DK239" s="29"/>
      <c r="DL239" s="29"/>
      <c r="DM239" s="29"/>
      <c r="DN239" s="29"/>
      <c r="DO239" s="29"/>
      <c r="DP239" s="29"/>
      <c r="DQ239" s="29"/>
      <c r="DR239" s="29"/>
      <c r="DS239" s="22"/>
      <c r="DT239" s="22"/>
      <c r="DU239" s="22"/>
      <c r="DV239" s="22"/>
    </row>
    <row r="240" spans="61:126" x14ac:dyDescent="0.25">
      <c r="BI240" s="22"/>
      <c r="BJ240" s="22"/>
      <c r="BK240" s="22"/>
      <c r="BL240" s="22"/>
      <c r="BM240" s="66"/>
      <c r="BN240" s="66"/>
      <c r="BO240" s="23"/>
      <c r="BP240" s="23"/>
      <c r="BQ240" s="23"/>
      <c r="BR240" s="24"/>
      <c r="BS240" s="24"/>
      <c r="BT240" s="68"/>
      <c r="BU240" s="68"/>
      <c r="BV240" s="25"/>
      <c r="BW240" s="26"/>
      <c r="BX240" s="27"/>
      <c r="BY240" s="28"/>
      <c r="BZ240" s="28"/>
      <c r="CA240" s="28"/>
      <c r="CB240" s="28"/>
      <c r="CC240" s="28"/>
      <c r="CD240" s="28"/>
      <c r="CE240" s="28"/>
      <c r="CF240" s="28"/>
      <c r="CG240" s="28"/>
      <c r="CH240" s="28"/>
      <c r="CI240" s="28"/>
      <c r="CJ240" s="28"/>
      <c r="CK240" s="28"/>
      <c r="CL240" s="28"/>
      <c r="CM240" s="28"/>
      <c r="CN240" s="28"/>
      <c r="CO240" s="28"/>
      <c r="CP240" s="28"/>
      <c r="CQ240" s="28"/>
      <c r="CR240" s="28"/>
      <c r="CS240" s="28"/>
      <c r="CT240" s="28"/>
      <c r="CU240" s="28"/>
      <c r="CV240" s="28"/>
      <c r="CW240" s="28"/>
      <c r="CX240" s="28"/>
      <c r="CY240" s="28"/>
      <c r="CZ240" s="28"/>
      <c r="DA240" s="28"/>
      <c r="DB240" s="28"/>
      <c r="DC240" s="28"/>
      <c r="DD240" s="28"/>
      <c r="DE240" s="28"/>
      <c r="DF240" s="28"/>
      <c r="DG240" s="28"/>
      <c r="DH240" s="28"/>
      <c r="DI240" s="28"/>
      <c r="DJ240" s="28"/>
      <c r="DK240" s="29"/>
      <c r="DL240" s="29"/>
      <c r="DM240" s="29"/>
      <c r="DN240" s="29"/>
      <c r="DO240" s="29"/>
      <c r="DP240" s="29"/>
      <c r="DQ240" s="29"/>
      <c r="DR240" s="29"/>
      <c r="DS240" s="22"/>
      <c r="DT240" s="22"/>
      <c r="DU240" s="22"/>
      <c r="DV240" s="22"/>
    </row>
    <row r="241" spans="61:126" x14ac:dyDescent="0.25">
      <c r="BI241" s="22"/>
      <c r="BJ241" s="22"/>
      <c r="BK241" s="22"/>
      <c r="BL241" s="22"/>
      <c r="BM241" s="66"/>
      <c r="BN241" s="66"/>
      <c r="BO241" s="23"/>
      <c r="BP241" s="23"/>
      <c r="BQ241" s="23"/>
      <c r="BR241" s="24"/>
      <c r="BS241" s="24"/>
      <c r="BT241" s="68"/>
      <c r="BU241" s="68"/>
      <c r="BV241" s="25"/>
      <c r="BW241" s="26"/>
      <c r="BX241" s="27"/>
      <c r="BY241" s="28"/>
      <c r="BZ241" s="28"/>
      <c r="CA241" s="28"/>
      <c r="CB241" s="28"/>
      <c r="CC241" s="28"/>
      <c r="CD241" s="28"/>
      <c r="CE241" s="28"/>
      <c r="CF241" s="28"/>
      <c r="CG241" s="28"/>
      <c r="CH241" s="28"/>
      <c r="CI241" s="28"/>
      <c r="CJ241" s="28"/>
      <c r="CK241" s="28"/>
      <c r="CL241" s="28"/>
      <c r="CM241" s="28"/>
      <c r="CN241" s="28"/>
      <c r="CO241" s="28"/>
      <c r="CP241" s="28"/>
      <c r="CQ241" s="28"/>
      <c r="CR241" s="28"/>
      <c r="CS241" s="28"/>
      <c r="CT241" s="28"/>
      <c r="CU241" s="28"/>
      <c r="CV241" s="28"/>
      <c r="CW241" s="28"/>
      <c r="CX241" s="28"/>
      <c r="CY241" s="28"/>
      <c r="CZ241" s="28"/>
      <c r="DA241" s="28"/>
      <c r="DB241" s="28"/>
      <c r="DC241" s="28"/>
      <c r="DD241" s="28"/>
      <c r="DE241" s="28"/>
      <c r="DF241" s="28"/>
      <c r="DG241" s="28"/>
      <c r="DH241" s="28"/>
      <c r="DI241" s="28"/>
      <c r="DJ241" s="28"/>
      <c r="DK241" s="29"/>
      <c r="DL241" s="29"/>
      <c r="DM241" s="29"/>
      <c r="DN241" s="29"/>
      <c r="DO241" s="29"/>
      <c r="DP241" s="29"/>
      <c r="DQ241" s="29"/>
      <c r="DR241" s="29"/>
      <c r="DS241" s="22"/>
      <c r="DT241" s="22"/>
      <c r="DU241" s="22"/>
      <c r="DV241" s="22"/>
    </row>
    <row r="242" spans="61:126" x14ac:dyDescent="0.25">
      <c r="BI242" s="22"/>
      <c r="BJ242" s="22"/>
      <c r="BK242" s="22"/>
      <c r="BL242" s="22"/>
      <c r="BM242" s="66"/>
      <c r="BN242" s="66"/>
      <c r="BO242" s="23"/>
      <c r="BP242" s="23"/>
      <c r="BQ242" s="23"/>
      <c r="BR242" s="24"/>
      <c r="BS242" s="24"/>
      <c r="BT242" s="68"/>
      <c r="BU242" s="68"/>
      <c r="BV242" s="25"/>
      <c r="BW242" s="26"/>
      <c r="BX242" s="27"/>
      <c r="BY242" s="28"/>
      <c r="BZ242" s="28"/>
      <c r="CA242" s="28"/>
      <c r="CB242" s="28"/>
      <c r="CC242" s="28"/>
      <c r="CD242" s="28"/>
      <c r="CE242" s="28"/>
      <c r="CF242" s="28"/>
      <c r="CG242" s="28"/>
      <c r="CH242" s="28"/>
      <c r="CI242" s="28"/>
      <c r="CJ242" s="28"/>
      <c r="CK242" s="28"/>
      <c r="CL242" s="28"/>
      <c r="CM242" s="28"/>
      <c r="CN242" s="28"/>
      <c r="CO242" s="28"/>
      <c r="CP242" s="28"/>
      <c r="CQ242" s="28"/>
      <c r="CR242" s="28"/>
      <c r="CS242" s="28"/>
      <c r="CT242" s="28"/>
      <c r="CU242" s="28"/>
      <c r="CV242" s="28"/>
      <c r="CW242" s="28"/>
      <c r="CX242" s="28"/>
      <c r="CY242" s="28"/>
      <c r="CZ242" s="28"/>
      <c r="DA242" s="28"/>
      <c r="DB242" s="28"/>
      <c r="DC242" s="28"/>
      <c r="DD242" s="28"/>
      <c r="DE242" s="28"/>
      <c r="DF242" s="28"/>
      <c r="DG242" s="28"/>
      <c r="DH242" s="28"/>
      <c r="DI242" s="28"/>
      <c r="DJ242" s="28"/>
      <c r="DK242" s="29"/>
      <c r="DL242" s="29"/>
      <c r="DM242" s="29"/>
      <c r="DN242" s="29"/>
      <c r="DO242" s="29"/>
      <c r="DP242" s="29"/>
      <c r="DQ242" s="29"/>
      <c r="DR242" s="29"/>
      <c r="DS242" s="22"/>
      <c r="DT242" s="22"/>
      <c r="DU242" s="22"/>
      <c r="DV242" s="22"/>
    </row>
    <row r="243" spans="61:126" x14ac:dyDescent="0.25">
      <c r="BI243" s="22"/>
      <c r="BJ243" s="22"/>
      <c r="BK243" s="22"/>
      <c r="BL243" s="22"/>
      <c r="BM243" s="66"/>
      <c r="BN243" s="66"/>
      <c r="BO243" s="23"/>
      <c r="BP243" s="23"/>
      <c r="BQ243" s="23"/>
      <c r="BR243" s="24"/>
      <c r="BS243" s="24"/>
      <c r="BT243" s="68"/>
      <c r="BU243" s="68"/>
      <c r="BV243" s="25"/>
      <c r="BW243" s="26"/>
      <c r="BX243" s="27"/>
      <c r="BY243" s="28"/>
      <c r="BZ243" s="28"/>
      <c r="CA243" s="28"/>
      <c r="CB243" s="28"/>
      <c r="CC243" s="28"/>
      <c r="CD243" s="28"/>
      <c r="CE243" s="28"/>
      <c r="CF243" s="28"/>
      <c r="CG243" s="28"/>
      <c r="CH243" s="28"/>
      <c r="CI243" s="28"/>
      <c r="CJ243" s="28"/>
      <c r="CK243" s="28"/>
      <c r="CL243" s="28"/>
      <c r="CM243" s="28"/>
      <c r="CN243" s="28"/>
      <c r="CO243" s="28"/>
      <c r="CP243" s="28"/>
      <c r="CQ243" s="28"/>
      <c r="CR243" s="28"/>
      <c r="CS243" s="28"/>
      <c r="CT243" s="28"/>
      <c r="CU243" s="28"/>
      <c r="CV243" s="28"/>
      <c r="CW243" s="28"/>
      <c r="CX243" s="28"/>
      <c r="CY243" s="28"/>
      <c r="CZ243" s="28"/>
      <c r="DA243" s="28"/>
      <c r="DB243" s="28"/>
      <c r="DC243" s="28"/>
      <c r="DD243" s="28"/>
      <c r="DE243" s="28"/>
      <c r="DF243" s="28"/>
      <c r="DG243" s="28"/>
      <c r="DH243" s="28"/>
      <c r="DI243" s="28"/>
      <c r="DJ243" s="28"/>
      <c r="DK243" s="29"/>
      <c r="DL243" s="29"/>
      <c r="DM243" s="29"/>
      <c r="DN243" s="29"/>
      <c r="DO243" s="29"/>
      <c r="DP243" s="29"/>
      <c r="DQ243" s="29"/>
      <c r="DR243" s="29"/>
      <c r="DS243" s="22"/>
      <c r="DT243" s="22"/>
      <c r="DU243" s="22"/>
      <c r="DV243" s="22"/>
    </row>
    <row r="244" spans="61:126" x14ac:dyDescent="0.25">
      <c r="BI244" s="22"/>
      <c r="BJ244" s="22"/>
      <c r="BK244" s="22"/>
      <c r="BL244" s="22"/>
      <c r="BM244" s="66"/>
      <c r="BN244" s="66"/>
      <c r="BO244" s="23"/>
      <c r="BP244" s="23"/>
      <c r="BQ244" s="23"/>
      <c r="BR244" s="24"/>
      <c r="BS244" s="24"/>
      <c r="BT244" s="68"/>
      <c r="BU244" s="68"/>
      <c r="BV244" s="25"/>
      <c r="BW244" s="26"/>
      <c r="BX244" s="27"/>
      <c r="BY244" s="28"/>
      <c r="BZ244" s="28"/>
      <c r="CA244" s="28"/>
      <c r="CB244" s="28"/>
      <c r="CC244" s="28"/>
      <c r="CD244" s="28"/>
      <c r="CE244" s="28"/>
      <c r="CF244" s="28"/>
      <c r="CG244" s="28"/>
      <c r="CH244" s="28"/>
      <c r="CI244" s="28"/>
      <c r="CJ244" s="28"/>
      <c r="CK244" s="28"/>
      <c r="CL244" s="28"/>
      <c r="CM244" s="28"/>
      <c r="CN244" s="28"/>
      <c r="CO244" s="28"/>
      <c r="CP244" s="28"/>
      <c r="CQ244" s="28"/>
      <c r="CR244" s="28"/>
      <c r="CS244" s="28"/>
      <c r="CT244" s="28"/>
      <c r="CU244" s="28"/>
      <c r="CV244" s="28"/>
      <c r="CW244" s="28"/>
      <c r="CX244" s="28"/>
      <c r="CY244" s="28"/>
      <c r="CZ244" s="28"/>
      <c r="DA244" s="28"/>
      <c r="DB244" s="28"/>
      <c r="DC244" s="28"/>
      <c r="DD244" s="28"/>
      <c r="DE244" s="28"/>
      <c r="DF244" s="28"/>
      <c r="DG244" s="28"/>
      <c r="DH244" s="28"/>
      <c r="DI244" s="28"/>
      <c r="DJ244" s="28"/>
      <c r="DK244" s="29"/>
      <c r="DL244" s="29"/>
      <c r="DM244" s="29"/>
      <c r="DN244" s="29"/>
      <c r="DO244" s="29"/>
      <c r="DP244" s="29"/>
      <c r="DQ244" s="29"/>
      <c r="DR244" s="29"/>
      <c r="DS244" s="22"/>
      <c r="DT244" s="22"/>
      <c r="DU244" s="22"/>
      <c r="DV244" s="22"/>
    </row>
    <row r="245" spans="61:126" x14ac:dyDescent="0.25">
      <c r="BI245" s="22"/>
      <c r="BJ245" s="22"/>
      <c r="BK245" s="22"/>
      <c r="BL245" s="22"/>
      <c r="BM245" s="66"/>
      <c r="BN245" s="66"/>
      <c r="BO245" s="23"/>
      <c r="BP245" s="23"/>
      <c r="BQ245" s="23"/>
      <c r="BR245" s="24"/>
      <c r="BS245" s="24"/>
      <c r="BT245" s="68"/>
      <c r="BU245" s="68"/>
      <c r="BV245" s="25"/>
      <c r="BW245" s="26"/>
      <c r="BX245" s="27"/>
      <c r="BY245" s="28"/>
      <c r="BZ245" s="28"/>
      <c r="CA245" s="28"/>
      <c r="CB245" s="28"/>
      <c r="CC245" s="28"/>
      <c r="CD245" s="28"/>
      <c r="CE245" s="28"/>
      <c r="CF245" s="28"/>
      <c r="CG245" s="28"/>
      <c r="CH245" s="28"/>
      <c r="CI245" s="28"/>
      <c r="CJ245" s="28"/>
      <c r="CK245" s="28"/>
      <c r="CL245" s="28"/>
      <c r="CM245" s="28"/>
      <c r="CN245" s="28"/>
      <c r="CO245" s="28"/>
      <c r="CP245" s="28"/>
      <c r="CQ245" s="28"/>
      <c r="CR245" s="28"/>
      <c r="CS245" s="28"/>
      <c r="CT245" s="28"/>
      <c r="CU245" s="28"/>
      <c r="CV245" s="28"/>
      <c r="CW245" s="28"/>
      <c r="CX245" s="28"/>
      <c r="CY245" s="28"/>
      <c r="CZ245" s="28"/>
      <c r="DA245" s="28"/>
      <c r="DB245" s="28"/>
      <c r="DC245" s="28"/>
      <c r="DD245" s="28"/>
      <c r="DE245" s="28"/>
      <c r="DF245" s="28"/>
      <c r="DG245" s="28"/>
      <c r="DH245" s="28"/>
      <c r="DI245" s="28"/>
      <c r="DJ245" s="28"/>
      <c r="DK245" s="29"/>
      <c r="DL245" s="29"/>
      <c r="DM245" s="29"/>
      <c r="DN245" s="29"/>
      <c r="DO245" s="29"/>
      <c r="DP245" s="29"/>
      <c r="DQ245" s="29"/>
      <c r="DR245" s="29"/>
      <c r="DS245" s="22"/>
      <c r="DT245" s="22"/>
      <c r="DU245" s="22"/>
      <c r="DV245" s="22"/>
    </row>
    <row r="246" spans="61:126" x14ac:dyDescent="0.25">
      <c r="BI246" s="22"/>
      <c r="BJ246" s="22"/>
      <c r="BK246" s="22"/>
      <c r="BL246" s="22"/>
      <c r="BM246" s="66"/>
      <c r="BN246" s="66"/>
      <c r="BO246" s="23"/>
      <c r="BP246" s="23"/>
      <c r="BQ246" s="23"/>
      <c r="BR246" s="24"/>
      <c r="BS246" s="24"/>
      <c r="BT246" s="68"/>
      <c r="BU246" s="68"/>
      <c r="BV246" s="25"/>
      <c r="BW246" s="26"/>
      <c r="BX246" s="27"/>
      <c r="BY246" s="28"/>
      <c r="BZ246" s="28"/>
      <c r="CA246" s="28"/>
      <c r="CB246" s="28"/>
      <c r="CC246" s="28"/>
      <c r="CD246" s="28"/>
      <c r="CE246" s="28"/>
      <c r="CF246" s="28"/>
      <c r="CG246" s="28"/>
      <c r="CH246" s="28"/>
      <c r="CI246" s="28"/>
      <c r="CJ246" s="28"/>
      <c r="CK246" s="28"/>
      <c r="CL246" s="28"/>
      <c r="CM246" s="28"/>
      <c r="CN246" s="28"/>
      <c r="CO246" s="28"/>
      <c r="CP246" s="28"/>
      <c r="CQ246" s="28"/>
      <c r="CR246" s="28"/>
      <c r="CS246" s="28"/>
      <c r="CT246" s="28"/>
      <c r="CU246" s="28"/>
      <c r="CV246" s="28"/>
      <c r="CW246" s="28"/>
      <c r="CX246" s="28"/>
      <c r="CY246" s="28"/>
      <c r="CZ246" s="28"/>
      <c r="DA246" s="28"/>
      <c r="DB246" s="28"/>
      <c r="DC246" s="28"/>
      <c r="DD246" s="28"/>
      <c r="DE246" s="28"/>
      <c r="DF246" s="28"/>
      <c r="DG246" s="28"/>
      <c r="DH246" s="28"/>
      <c r="DI246" s="28"/>
      <c r="DJ246" s="28"/>
      <c r="DK246" s="29"/>
      <c r="DL246" s="29"/>
      <c r="DM246" s="29"/>
      <c r="DN246" s="29"/>
      <c r="DO246" s="29"/>
      <c r="DP246" s="29"/>
      <c r="DQ246" s="29"/>
      <c r="DR246" s="29"/>
      <c r="DS246" s="22"/>
      <c r="DT246" s="22"/>
      <c r="DU246" s="22"/>
      <c r="DV246" s="22"/>
    </row>
    <row r="247" spans="61:126" x14ac:dyDescent="0.25">
      <c r="BI247" s="22"/>
      <c r="BJ247" s="22"/>
      <c r="BK247" s="22"/>
      <c r="BL247" s="22"/>
      <c r="BM247" s="66"/>
      <c r="BN247" s="66"/>
      <c r="BO247" s="23"/>
      <c r="BP247" s="23"/>
      <c r="BQ247" s="23"/>
      <c r="BR247" s="24"/>
      <c r="BS247" s="24"/>
      <c r="BT247" s="68"/>
      <c r="BU247" s="68"/>
      <c r="BV247" s="25"/>
      <c r="BW247" s="26"/>
      <c r="BX247" s="27"/>
      <c r="BY247" s="28"/>
      <c r="BZ247" s="28"/>
      <c r="CA247" s="28"/>
      <c r="CB247" s="28"/>
      <c r="CC247" s="28"/>
      <c r="CD247" s="28"/>
      <c r="CE247" s="28"/>
      <c r="CF247" s="28"/>
      <c r="CG247" s="28"/>
      <c r="CH247" s="28"/>
      <c r="CI247" s="28"/>
      <c r="CJ247" s="28"/>
      <c r="CK247" s="28"/>
      <c r="CL247" s="28"/>
      <c r="CM247" s="28"/>
      <c r="CN247" s="28"/>
      <c r="CO247" s="28"/>
      <c r="CP247" s="28"/>
      <c r="CQ247" s="28"/>
      <c r="CR247" s="28"/>
      <c r="CS247" s="28"/>
      <c r="CT247" s="28"/>
      <c r="CU247" s="28"/>
      <c r="CV247" s="28"/>
      <c r="CW247" s="28"/>
      <c r="CX247" s="28"/>
      <c r="CY247" s="28"/>
      <c r="CZ247" s="28"/>
      <c r="DA247" s="28"/>
      <c r="DB247" s="28"/>
      <c r="DC247" s="28"/>
      <c r="DD247" s="28"/>
      <c r="DE247" s="28"/>
      <c r="DF247" s="28"/>
      <c r="DG247" s="28"/>
      <c r="DH247" s="28"/>
      <c r="DI247" s="28"/>
      <c r="DJ247" s="28"/>
      <c r="DK247" s="29"/>
      <c r="DL247" s="29"/>
      <c r="DM247" s="29"/>
      <c r="DN247" s="29"/>
      <c r="DO247" s="29"/>
      <c r="DP247" s="29"/>
      <c r="DQ247" s="29"/>
      <c r="DR247" s="29"/>
      <c r="DS247" s="22"/>
      <c r="DT247" s="22"/>
      <c r="DU247" s="22"/>
      <c r="DV247" s="22"/>
    </row>
    <row r="248" spans="61:126" x14ac:dyDescent="0.25">
      <c r="BI248" s="22"/>
      <c r="BJ248" s="22"/>
      <c r="BK248" s="22"/>
      <c r="BL248" s="22"/>
      <c r="BM248" s="66"/>
      <c r="BN248" s="66"/>
      <c r="BO248" s="23"/>
      <c r="BP248" s="23"/>
      <c r="BQ248" s="23"/>
      <c r="BR248" s="24"/>
      <c r="BS248" s="24"/>
      <c r="BT248" s="68"/>
      <c r="BU248" s="68"/>
      <c r="BV248" s="25"/>
      <c r="BW248" s="26"/>
      <c r="BX248" s="27"/>
      <c r="BY248" s="28"/>
      <c r="BZ248" s="28"/>
      <c r="CA248" s="28"/>
      <c r="CB248" s="28"/>
      <c r="CC248" s="28"/>
      <c r="CD248" s="28"/>
      <c r="CE248" s="28"/>
      <c r="CF248" s="28"/>
      <c r="CG248" s="28"/>
      <c r="CH248" s="28"/>
      <c r="CI248" s="28"/>
      <c r="CJ248" s="28"/>
      <c r="CK248" s="28"/>
      <c r="CL248" s="28"/>
      <c r="CM248" s="28"/>
      <c r="CN248" s="28"/>
      <c r="CO248" s="28"/>
      <c r="CP248" s="28"/>
      <c r="CQ248" s="28"/>
      <c r="CR248" s="28"/>
      <c r="CS248" s="28"/>
      <c r="CT248" s="28"/>
      <c r="CU248" s="28"/>
      <c r="CV248" s="28"/>
      <c r="CW248" s="28"/>
      <c r="CX248" s="28"/>
      <c r="CY248" s="28"/>
      <c r="CZ248" s="28"/>
      <c r="DA248" s="28"/>
      <c r="DB248" s="28"/>
      <c r="DC248" s="28"/>
      <c r="DD248" s="28"/>
      <c r="DE248" s="28"/>
      <c r="DF248" s="28"/>
      <c r="DG248" s="28"/>
      <c r="DH248" s="28"/>
      <c r="DI248" s="28"/>
      <c r="DJ248" s="28"/>
      <c r="DK248" s="29"/>
      <c r="DL248" s="29"/>
      <c r="DM248" s="29"/>
      <c r="DN248" s="29"/>
      <c r="DO248" s="29"/>
      <c r="DP248" s="29"/>
      <c r="DQ248" s="29"/>
      <c r="DR248" s="29"/>
      <c r="DS248" s="22"/>
      <c r="DT248" s="22"/>
      <c r="DU248" s="22"/>
      <c r="DV248" s="22"/>
    </row>
    <row r="249" spans="61:126" x14ac:dyDescent="0.25">
      <c r="BI249" s="22"/>
      <c r="BJ249" s="22"/>
      <c r="BK249" s="22"/>
      <c r="BL249" s="22"/>
      <c r="BM249" s="66"/>
      <c r="BN249" s="66"/>
      <c r="BO249" s="23"/>
      <c r="BP249" s="23"/>
      <c r="BQ249" s="23"/>
      <c r="BR249" s="24"/>
      <c r="BS249" s="24"/>
      <c r="BT249" s="68"/>
      <c r="BU249" s="68"/>
      <c r="BV249" s="25"/>
      <c r="BW249" s="26"/>
      <c r="BX249" s="27"/>
      <c r="BY249" s="28"/>
      <c r="BZ249" s="28"/>
      <c r="CA249" s="28"/>
      <c r="CB249" s="28"/>
      <c r="CC249" s="28"/>
      <c r="CD249" s="28"/>
      <c r="CE249" s="28"/>
      <c r="CF249" s="28"/>
      <c r="CG249" s="28"/>
      <c r="CH249" s="28"/>
      <c r="CI249" s="28"/>
      <c r="CJ249" s="28"/>
      <c r="CK249" s="28"/>
      <c r="CL249" s="28"/>
      <c r="CM249" s="28"/>
      <c r="CN249" s="28"/>
      <c r="CO249" s="28"/>
      <c r="CP249" s="28"/>
      <c r="CQ249" s="28"/>
      <c r="CR249" s="28"/>
      <c r="CS249" s="28"/>
      <c r="CT249" s="28"/>
      <c r="CU249" s="28"/>
      <c r="CV249" s="28"/>
      <c r="CW249" s="28"/>
      <c r="CX249" s="28"/>
      <c r="CY249" s="28"/>
      <c r="CZ249" s="28"/>
      <c r="DA249" s="28"/>
      <c r="DB249" s="28"/>
      <c r="DC249" s="28"/>
      <c r="DD249" s="28"/>
      <c r="DE249" s="28"/>
      <c r="DF249" s="28"/>
      <c r="DG249" s="28"/>
      <c r="DH249" s="28"/>
      <c r="DI249" s="28"/>
      <c r="DJ249" s="28"/>
      <c r="DK249" s="29"/>
      <c r="DL249" s="29"/>
      <c r="DM249" s="29"/>
      <c r="DN249" s="29"/>
      <c r="DO249" s="29"/>
      <c r="DP249" s="29"/>
      <c r="DQ249" s="29"/>
      <c r="DR249" s="29"/>
      <c r="DS249" s="22"/>
      <c r="DT249" s="22"/>
      <c r="DU249" s="22"/>
      <c r="DV249" s="22"/>
    </row>
    <row r="250" spans="61:126" x14ac:dyDescent="0.25">
      <c r="BI250" s="22"/>
      <c r="BJ250" s="22"/>
      <c r="BK250" s="22"/>
      <c r="BL250" s="22"/>
      <c r="BM250" s="66"/>
      <c r="BN250" s="66"/>
      <c r="BO250" s="23"/>
      <c r="BP250" s="23"/>
      <c r="BQ250" s="23"/>
      <c r="BR250" s="24"/>
      <c r="BS250" s="24"/>
      <c r="BT250" s="68"/>
      <c r="BU250" s="68"/>
      <c r="BV250" s="25"/>
      <c r="BW250" s="26"/>
      <c r="BX250" s="27"/>
      <c r="BY250" s="28"/>
      <c r="BZ250" s="28"/>
      <c r="CA250" s="28"/>
      <c r="CB250" s="28"/>
      <c r="CC250" s="28"/>
      <c r="CD250" s="28"/>
      <c r="CE250" s="28"/>
      <c r="CF250" s="28"/>
      <c r="CG250" s="28"/>
      <c r="CH250" s="28"/>
      <c r="CI250" s="28"/>
      <c r="CJ250" s="28"/>
      <c r="CK250" s="28"/>
      <c r="CL250" s="28"/>
      <c r="CM250" s="28"/>
      <c r="CN250" s="28"/>
      <c r="CO250" s="28"/>
      <c r="CP250" s="28"/>
      <c r="CQ250" s="28"/>
      <c r="CR250" s="28"/>
      <c r="CS250" s="28"/>
      <c r="CT250" s="28"/>
      <c r="CU250" s="28"/>
      <c r="CV250" s="28"/>
      <c r="CW250" s="28"/>
      <c r="CX250" s="28"/>
      <c r="CY250" s="28"/>
      <c r="CZ250" s="28"/>
      <c r="DA250" s="28"/>
      <c r="DB250" s="28"/>
      <c r="DC250" s="28"/>
      <c r="DD250" s="28"/>
      <c r="DE250" s="28"/>
      <c r="DF250" s="28"/>
      <c r="DG250" s="28"/>
      <c r="DH250" s="28"/>
      <c r="DI250" s="28"/>
      <c r="DJ250" s="28"/>
      <c r="DK250" s="29"/>
      <c r="DL250" s="29"/>
      <c r="DM250" s="29"/>
      <c r="DN250" s="29"/>
      <c r="DO250" s="29"/>
      <c r="DP250" s="29"/>
      <c r="DQ250" s="29"/>
      <c r="DR250" s="29"/>
      <c r="DS250" s="22"/>
      <c r="DT250" s="22"/>
      <c r="DU250" s="22"/>
      <c r="DV250" s="22"/>
    </row>
    <row r="251" spans="61:126" x14ac:dyDescent="0.25">
      <c r="BI251" s="22"/>
      <c r="BJ251" s="22"/>
      <c r="BK251" s="22"/>
      <c r="BL251" s="22"/>
      <c r="BM251" s="66"/>
      <c r="BN251" s="66"/>
      <c r="BO251" s="23"/>
      <c r="BP251" s="23"/>
      <c r="BQ251" s="23"/>
      <c r="BR251" s="24"/>
      <c r="BS251" s="24"/>
      <c r="BT251" s="68"/>
      <c r="BU251" s="68"/>
      <c r="BV251" s="25"/>
      <c r="BW251" s="26"/>
      <c r="BX251" s="27"/>
      <c r="BY251" s="28"/>
      <c r="BZ251" s="28"/>
      <c r="CA251" s="28"/>
      <c r="CB251" s="28"/>
      <c r="CC251" s="28"/>
      <c r="CD251" s="28"/>
      <c r="CE251" s="28"/>
      <c r="CF251" s="28"/>
      <c r="CG251" s="28"/>
      <c r="CH251" s="28"/>
      <c r="CI251" s="28"/>
      <c r="CJ251" s="28"/>
      <c r="CK251" s="28"/>
      <c r="CL251" s="28"/>
      <c r="CM251" s="28"/>
      <c r="CN251" s="28"/>
      <c r="CO251" s="28"/>
      <c r="CP251" s="28"/>
      <c r="CQ251" s="28"/>
      <c r="CR251" s="28"/>
      <c r="CS251" s="28"/>
      <c r="CT251" s="28"/>
      <c r="CU251" s="28"/>
      <c r="CV251" s="28"/>
      <c r="CW251" s="28"/>
      <c r="CX251" s="28"/>
      <c r="CY251" s="28"/>
      <c r="CZ251" s="28"/>
      <c r="DA251" s="28"/>
      <c r="DB251" s="28"/>
      <c r="DC251" s="28"/>
      <c r="DD251" s="28"/>
      <c r="DE251" s="28"/>
      <c r="DF251" s="28"/>
      <c r="DG251" s="28"/>
      <c r="DH251" s="28"/>
      <c r="DI251" s="28"/>
      <c r="DJ251" s="28"/>
      <c r="DK251" s="29"/>
      <c r="DL251" s="29"/>
      <c r="DM251" s="29"/>
      <c r="DN251" s="29"/>
      <c r="DO251" s="29"/>
      <c r="DP251" s="29"/>
      <c r="DQ251" s="29"/>
      <c r="DR251" s="29"/>
      <c r="DS251" s="22"/>
      <c r="DT251" s="22"/>
      <c r="DU251" s="22"/>
      <c r="DV251" s="22"/>
    </row>
    <row r="252" spans="61:126" x14ac:dyDescent="0.25">
      <c r="BI252" s="22"/>
      <c r="BJ252" s="22"/>
      <c r="BK252" s="22"/>
      <c r="BL252" s="22"/>
      <c r="BM252" s="66"/>
      <c r="BN252" s="66"/>
      <c r="BO252" s="23"/>
      <c r="BP252" s="23"/>
      <c r="BQ252" s="23"/>
      <c r="BR252" s="24"/>
      <c r="BS252" s="24"/>
      <c r="BT252" s="68"/>
      <c r="BU252" s="68"/>
      <c r="BV252" s="25"/>
      <c r="BW252" s="26"/>
      <c r="BX252" s="27"/>
      <c r="BY252" s="28"/>
      <c r="BZ252" s="28"/>
      <c r="CA252" s="28"/>
      <c r="CB252" s="28"/>
      <c r="CC252" s="28"/>
      <c r="CD252" s="28"/>
      <c r="CE252" s="28"/>
      <c r="CF252" s="28"/>
      <c r="CG252" s="28"/>
      <c r="CH252" s="28"/>
      <c r="CI252" s="28"/>
      <c r="CJ252" s="28"/>
      <c r="CK252" s="28"/>
      <c r="CL252" s="28"/>
      <c r="CM252" s="28"/>
      <c r="CN252" s="28"/>
      <c r="CO252" s="28"/>
      <c r="CP252" s="28"/>
      <c r="CQ252" s="28"/>
      <c r="CR252" s="28"/>
      <c r="CS252" s="28"/>
      <c r="CT252" s="28"/>
      <c r="CU252" s="28"/>
      <c r="CV252" s="28"/>
      <c r="CW252" s="28"/>
      <c r="CX252" s="28"/>
      <c r="CY252" s="28"/>
      <c r="CZ252" s="28"/>
      <c r="DA252" s="28"/>
      <c r="DB252" s="28"/>
      <c r="DC252" s="28"/>
      <c r="DD252" s="28"/>
      <c r="DE252" s="28"/>
      <c r="DF252" s="28"/>
      <c r="DG252" s="28"/>
      <c r="DH252" s="28"/>
      <c r="DI252" s="28"/>
      <c r="DJ252" s="28"/>
      <c r="DK252" s="29"/>
      <c r="DL252" s="29"/>
      <c r="DM252" s="29"/>
      <c r="DN252" s="29"/>
      <c r="DO252" s="29"/>
      <c r="DP252" s="29"/>
      <c r="DQ252" s="29"/>
      <c r="DR252" s="29"/>
      <c r="DS252" s="22"/>
      <c r="DT252" s="22"/>
      <c r="DU252" s="22"/>
      <c r="DV252" s="22"/>
    </row>
    <row r="253" spans="61:126" x14ac:dyDescent="0.25">
      <c r="BI253" s="22"/>
      <c r="BJ253" s="22"/>
      <c r="BK253" s="22"/>
      <c r="BL253" s="22"/>
      <c r="BM253" s="66"/>
      <c r="BN253" s="66"/>
      <c r="BO253" s="23"/>
      <c r="BP253" s="23"/>
      <c r="BQ253" s="23"/>
      <c r="BR253" s="24"/>
      <c r="BS253" s="24"/>
      <c r="BT253" s="68"/>
      <c r="BU253" s="68"/>
      <c r="BV253" s="25"/>
      <c r="BW253" s="26"/>
      <c r="BX253" s="27"/>
      <c r="BY253" s="28"/>
      <c r="BZ253" s="28"/>
      <c r="CA253" s="28"/>
      <c r="CB253" s="28"/>
      <c r="CC253" s="28"/>
      <c r="CD253" s="28"/>
      <c r="CE253" s="28"/>
      <c r="CF253" s="28"/>
      <c r="CG253" s="28"/>
      <c r="CH253" s="28"/>
      <c r="CI253" s="28"/>
      <c r="CJ253" s="28"/>
      <c r="CK253" s="28"/>
      <c r="CL253" s="28"/>
      <c r="CM253" s="28"/>
      <c r="CN253" s="28"/>
      <c r="CO253" s="28"/>
      <c r="CP253" s="28"/>
      <c r="CQ253" s="28"/>
      <c r="CR253" s="28"/>
      <c r="CS253" s="28"/>
      <c r="CT253" s="28"/>
      <c r="CU253" s="28"/>
      <c r="CV253" s="28"/>
      <c r="CW253" s="28"/>
      <c r="CX253" s="28"/>
      <c r="CY253" s="28"/>
      <c r="CZ253" s="28"/>
      <c r="DA253" s="28"/>
      <c r="DB253" s="28"/>
      <c r="DC253" s="28"/>
      <c r="DD253" s="28"/>
      <c r="DE253" s="28"/>
      <c r="DF253" s="28"/>
      <c r="DG253" s="28"/>
      <c r="DH253" s="28"/>
      <c r="DI253" s="28"/>
      <c r="DJ253" s="28"/>
      <c r="DK253" s="29"/>
      <c r="DL253" s="29"/>
      <c r="DM253" s="29"/>
      <c r="DN253" s="29"/>
      <c r="DO253" s="29"/>
      <c r="DP253" s="29"/>
      <c r="DQ253" s="29"/>
      <c r="DR253" s="29"/>
      <c r="DS253" s="22"/>
      <c r="DT253" s="22"/>
      <c r="DU253" s="22"/>
      <c r="DV253" s="22"/>
    </row>
    <row r="254" spans="61:126" x14ac:dyDescent="0.25">
      <c r="BI254" s="22"/>
      <c r="BJ254" s="22"/>
      <c r="BK254" s="22"/>
      <c r="BL254" s="22"/>
      <c r="BM254" s="66"/>
      <c r="BN254" s="66"/>
      <c r="BO254" s="23"/>
      <c r="BP254" s="23"/>
      <c r="BQ254" s="23"/>
      <c r="BR254" s="24"/>
      <c r="BS254" s="24"/>
      <c r="BT254" s="68"/>
      <c r="BU254" s="68"/>
      <c r="BV254" s="25"/>
      <c r="BW254" s="26"/>
      <c r="BX254" s="27"/>
      <c r="BY254" s="28"/>
      <c r="BZ254" s="28"/>
      <c r="CA254" s="28"/>
      <c r="CB254" s="28"/>
      <c r="CC254" s="28"/>
      <c r="CD254" s="28"/>
      <c r="CE254" s="28"/>
      <c r="CF254" s="28"/>
      <c r="CG254" s="28"/>
      <c r="CH254" s="28"/>
      <c r="CI254" s="28"/>
      <c r="CJ254" s="28"/>
      <c r="CK254" s="28"/>
      <c r="CL254" s="28"/>
      <c r="CM254" s="28"/>
      <c r="CN254" s="28"/>
      <c r="CO254" s="28"/>
      <c r="CP254" s="28"/>
      <c r="CQ254" s="28"/>
      <c r="CR254" s="28"/>
      <c r="CS254" s="28"/>
      <c r="CT254" s="28"/>
      <c r="CU254" s="28"/>
      <c r="CV254" s="28"/>
      <c r="CW254" s="28"/>
      <c r="CX254" s="28"/>
      <c r="CY254" s="28"/>
      <c r="CZ254" s="28"/>
      <c r="DA254" s="28"/>
      <c r="DB254" s="28"/>
      <c r="DC254" s="28"/>
      <c r="DD254" s="28"/>
      <c r="DE254" s="28"/>
      <c r="DF254" s="28"/>
      <c r="DG254" s="28"/>
      <c r="DH254" s="28"/>
      <c r="DI254" s="28"/>
      <c r="DJ254" s="28"/>
      <c r="DK254" s="29"/>
      <c r="DL254" s="29"/>
      <c r="DM254" s="29"/>
      <c r="DN254" s="29"/>
      <c r="DO254" s="29"/>
      <c r="DP254" s="29"/>
      <c r="DQ254" s="29"/>
      <c r="DR254" s="29"/>
      <c r="DS254" s="22"/>
      <c r="DT254" s="22"/>
      <c r="DU254" s="22"/>
      <c r="DV254" s="22"/>
    </row>
    <row r="255" spans="61:126" x14ac:dyDescent="0.25">
      <c r="BI255" s="22"/>
      <c r="BJ255" s="22"/>
      <c r="BK255" s="22"/>
      <c r="BL255" s="22"/>
      <c r="BM255" s="66"/>
      <c r="BN255" s="66"/>
      <c r="BO255" s="23"/>
      <c r="BP255" s="23"/>
      <c r="BQ255" s="23"/>
      <c r="BR255" s="24"/>
      <c r="BS255" s="24"/>
      <c r="BT255" s="68"/>
      <c r="BU255" s="68"/>
      <c r="BV255" s="25"/>
      <c r="BW255" s="26"/>
      <c r="BX255" s="27"/>
      <c r="BY255" s="28"/>
      <c r="BZ255" s="28"/>
      <c r="CA255" s="28"/>
      <c r="CB255" s="28"/>
      <c r="CC255" s="28"/>
      <c r="CD255" s="28"/>
      <c r="CE255" s="28"/>
      <c r="CF255" s="28"/>
      <c r="CG255" s="28"/>
      <c r="CH255" s="28"/>
      <c r="CI255" s="28"/>
      <c r="CJ255" s="28"/>
      <c r="CK255" s="28"/>
      <c r="CL255" s="28"/>
      <c r="CM255" s="28"/>
      <c r="CN255" s="28"/>
      <c r="CO255" s="28"/>
      <c r="CP255" s="28"/>
      <c r="CQ255" s="28"/>
      <c r="CR255" s="28"/>
      <c r="CS255" s="28"/>
      <c r="CT255" s="28"/>
      <c r="CU255" s="28"/>
      <c r="CV255" s="28"/>
      <c r="CW255" s="28"/>
      <c r="CX255" s="28"/>
      <c r="CY255" s="28"/>
      <c r="CZ255" s="28"/>
      <c r="DA255" s="28"/>
      <c r="DB255" s="28"/>
      <c r="DC255" s="28"/>
      <c r="DD255" s="28"/>
      <c r="DE255" s="28"/>
      <c r="DF255" s="28"/>
      <c r="DG255" s="28"/>
      <c r="DH255" s="28"/>
      <c r="DI255" s="28"/>
      <c r="DJ255" s="28"/>
      <c r="DK255" s="29"/>
      <c r="DL255" s="29"/>
      <c r="DM255" s="29"/>
      <c r="DN255" s="29"/>
      <c r="DO255" s="29"/>
      <c r="DP255" s="29"/>
      <c r="DQ255" s="29"/>
      <c r="DR255" s="29"/>
      <c r="DS255" s="22"/>
      <c r="DT255" s="22"/>
      <c r="DU255" s="22"/>
      <c r="DV255" s="22"/>
    </row>
    <row r="256" spans="61:126" x14ac:dyDescent="0.25">
      <c r="BI256" s="22"/>
      <c r="BJ256" s="22"/>
      <c r="BK256" s="22"/>
      <c r="BL256" s="22"/>
      <c r="BM256" s="66"/>
      <c r="BN256" s="66"/>
      <c r="BO256" s="23"/>
      <c r="BP256" s="23"/>
      <c r="BQ256" s="23"/>
      <c r="BR256" s="24"/>
      <c r="BS256" s="24"/>
      <c r="BT256" s="68"/>
      <c r="BU256" s="68"/>
      <c r="BV256" s="25"/>
      <c r="BW256" s="26"/>
      <c r="BX256" s="27"/>
      <c r="BY256" s="28"/>
      <c r="BZ256" s="28"/>
      <c r="CA256" s="28"/>
      <c r="CB256" s="28"/>
      <c r="CC256" s="28"/>
      <c r="CD256" s="28"/>
      <c r="CE256" s="28"/>
      <c r="CF256" s="28"/>
      <c r="CG256" s="28"/>
      <c r="CH256" s="28"/>
      <c r="CI256" s="28"/>
      <c r="CJ256" s="28"/>
      <c r="CK256" s="28"/>
      <c r="CL256" s="28"/>
      <c r="CM256" s="28"/>
      <c r="CN256" s="28"/>
      <c r="CO256" s="28"/>
      <c r="CP256" s="28"/>
      <c r="CQ256" s="28"/>
      <c r="CR256" s="28"/>
      <c r="CS256" s="28"/>
      <c r="CT256" s="28"/>
      <c r="CU256" s="28"/>
      <c r="CV256" s="28"/>
      <c r="CW256" s="28"/>
      <c r="CX256" s="28"/>
      <c r="CY256" s="28"/>
      <c r="CZ256" s="28"/>
      <c r="DA256" s="28"/>
      <c r="DB256" s="28"/>
      <c r="DC256" s="28"/>
      <c r="DD256" s="28"/>
      <c r="DE256" s="28"/>
      <c r="DF256" s="28"/>
      <c r="DG256" s="28"/>
      <c r="DH256" s="28"/>
      <c r="DI256" s="28"/>
      <c r="DJ256" s="28"/>
      <c r="DK256" s="29"/>
      <c r="DL256" s="29"/>
      <c r="DM256" s="29"/>
      <c r="DN256" s="29"/>
      <c r="DO256" s="29"/>
      <c r="DP256" s="29"/>
      <c r="DQ256" s="29"/>
      <c r="DR256" s="29"/>
      <c r="DS256" s="22"/>
      <c r="DT256" s="22"/>
      <c r="DU256" s="22"/>
      <c r="DV256" s="22"/>
    </row>
    <row r="257" spans="61:126" x14ac:dyDescent="0.25">
      <c r="BI257" s="22"/>
      <c r="BJ257" s="22"/>
      <c r="BK257" s="22"/>
      <c r="BL257" s="22"/>
      <c r="BM257" s="66"/>
      <c r="BN257" s="66"/>
      <c r="BO257" s="23"/>
      <c r="BP257" s="23"/>
      <c r="BQ257" s="23"/>
      <c r="BR257" s="24"/>
      <c r="BS257" s="24"/>
      <c r="BT257" s="68"/>
      <c r="BU257" s="68"/>
      <c r="BV257" s="25"/>
      <c r="BW257" s="26"/>
      <c r="BX257" s="27"/>
      <c r="BY257" s="28"/>
      <c r="BZ257" s="28"/>
      <c r="CA257" s="28"/>
      <c r="CB257" s="28"/>
      <c r="CC257" s="28"/>
      <c r="CD257" s="28"/>
      <c r="CE257" s="28"/>
      <c r="CF257" s="28"/>
      <c r="CG257" s="28"/>
      <c r="CH257" s="28"/>
      <c r="CI257" s="28"/>
      <c r="CJ257" s="28"/>
      <c r="CK257" s="28"/>
      <c r="CL257" s="28"/>
      <c r="CM257" s="28"/>
      <c r="CN257" s="28"/>
      <c r="CO257" s="28"/>
      <c r="CP257" s="28"/>
      <c r="CQ257" s="28"/>
      <c r="CR257" s="28"/>
      <c r="CS257" s="28"/>
      <c r="CT257" s="28"/>
      <c r="CU257" s="28"/>
      <c r="CV257" s="28"/>
      <c r="CW257" s="28"/>
      <c r="CX257" s="28"/>
      <c r="CY257" s="28"/>
      <c r="CZ257" s="28"/>
      <c r="DA257" s="28"/>
      <c r="DB257" s="28"/>
      <c r="DC257" s="28"/>
      <c r="DD257" s="28"/>
      <c r="DE257" s="28"/>
      <c r="DF257" s="28"/>
      <c r="DG257" s="28"/>
      <c r="DH257" s="28"/>
      <c r="DI257" s="28"/>
      <c r="DJ257" s="28"/>
      <c r="DK257" s="29"/>
      <c r="DL257" s="29"/>
      <c r="DM257" s="29"/>
      <c r="DN257" s="29"/>
      <c r="DO257" s="29"/>
      <c r="DP257" s="29"/>
      <c r="DQ257" s="29"/>
      <c r="DR257" s="29"/>
      <c r="DS257" s="22"/>
      <c r="DT257" s="22"/>
      <c r="DU257" s="22"/>
      <c r="DV257" s="22"/>
    </row>
    <row r="258" spans="61:126" x14ac:dyDescent="0.25">
      <c r="BI258" s="22"/>
      <c r="BJ258" s="22"/>
      <c r="BK258" s="22"/>
      <c r="BL258" s="22"/>
      <c r="BM258" s="66"/>
      <c r="BN258" s="66"/>
      <c r="BO258" s="23"/>
      <c r="BP258" s="23"/>
      <c r="BQ258" s="23"/>
      <c r="BR258" s="24"/>
      <c r="BS258" s="24"/>
      <c r="BT258" s="68"/>
      <c r="BU258" s="68"/>
      <c r="BV258" s="25"/>
      <c r="BW258" s="26"/>
      <c r="BX258" s="27"/>
      <c r="BY258" s="28"/>
      <c r="BZ258" s="28"/>
      <c r="CA258" s="28"/>
      <c r="CB258" s="28"/>
      <c r="CC258" s="28"/>
      <c r="CD258" s="28"/>
      <c r="CE258" s="28"/>
      <c r="CF258" s="28"/>
      <c r="CG258" s="28"/>
      <c r="CH258" s="28"/>
      <c r="CI258" s="28"/>
      <c r="CJ258" s="28"/>
      <c r="CK258" s="28"/>
      <c r="CL258" s="28"/>
      <c r="CM258" s="28"/>
      <c r="CN258" s="28"/>
      <c r="CO258" s="28"/>
      <c r="CP258" s="28"/>
      <c r="CQ258" s="28"/>
      <c r="CR258" s="28"/>
      <c r="CS258" s="28"/>
      <c r="CT258" s="28"/>
      <c r="CU258" s="28"/>
      <c r="CV258" s="28"/>
      <c r="CW258" s="28"/>
      <c r="CX258" s="28"/>
      <c r="CY258" s="28"/>
      <c r="CZ258" s="28"/>
      <c r="DA258" s="28"/>
      <c r="DB258" s="28"/>
      <c r="DC258" s="28"/>
      <c r="DD258" s="28"/>
      <c r="DE258" s="28"/>
      <c r="DF258" s="28"/>
      <c r="DG258" s="28"/>
      <c r="DH258" s="28"/>
      <c r="DI258" s="28"/>
      <c r="DJ258" s="28"/>
      <c r="DK258" s="29"/>
      <c r="DL258" s="29"/>
      <c r="DM258" s="29"/>
      <c r="DN258" s="29"/>
      <c r="DO258" s="29"/>
      <c r="DP258" s="29"/>
      <c r="DQ258" s="29"/>
      <c r="DR258" s="29"/>
      <c r="DS258" s="22"/>
      <c r="DT258" s="22"/>
      <c r="DU258" s="22"/>
      <c r="DV258" s="22"/>
    </row>
    <row r="259" spans="61:126" x14ac:dyDescent="0.25">
      <c r="BI259" s="22"/>
      <c r="BJ259" s="22"/>
      <c r="BK259" s="22"/>
      <c r="BL259" s="22"/>
      <c r="BM259" s="66"/>
      <c r="BN259" s="66"/>
      <c r="BO259" s="23"/>
      <c r="BP259" s="23"/>
      <c r="BQ259" s="23"/>
      <c r="BR259" s="24"/>
      <c r="BS259" s="24"/>
      <c r="BT259" s="68"/>
      <c r="BU259" s="68"/>
      <c r="BV259" s="25"/>
      <c r="BW259" s="26"/>
      <c r="BX259" s="27"/>
      <c r="BY259" s="28"/>
      <c r="BZ259" s="28"/>
      <c r="CA259" s="28"/>
      <c r="CB259" s="28"/>
      <c r="CC259" s="28"/>
      <c r="CD259" s="28"/>
      <c r="CE259" s="28"/>
      <c r="CF259" s="28"/>
      <c r="CG259" s="28"/>
      <c r="CH259" s="28"/>
      <c r="CI259" s="28"/>
      <c r="CJ259" s="28"/>
      <c r="CK259" s="28"/>
      <c r="CL259" s="28"/>
      <c r="CM259" s="28"/>
      <c r="CN259" s="28"/>
      <c r="CO259" s="28"/>
      <c r="CP259" s="28"/>
      <c r="CQ259" s="28"/>
      <c r="CR259" s="28"/>
      <c r="CS259" s="28"/>
      <c r="CT259" s="28"/>
      <c r="CU259" s="28"/>
      <c r="CV259" s="28"/>
      <c r="CW259" s="28"/>
      <c r="CX259" s="28"/>
      <c r="CY259" s="28"/>
      <c r="CZ259" s="28"/>
      <c r="DA259" s="28"/>
      <c r="DB259" s="28"/>
      <c r="DC259" s="28"/>
      <c r="DD259" s="28"/>
      <c r="DE259" s="28"/>
      <c r="DF259" s="28"/>
      <c r="DG259" s="28"/>
      <c r="DH259" s="28"/>
      <c r="DI259" s="28"/>
      <c r="DJ259" s="28"/>
      <c r="DK259" s="29"/>
      <c r="DL259" s="29"/>
      <c r="DM259" s="29"/>
      <c r="DN259" s="29"/>
      <c r="DO259" s="29"/>
      <c r="DP259" s="29"/>
      <c r="DQ259" s="29"/>
      <c r="DR259" s="29"/>
      <c r="DS259" s="22"/>
      <c r="DT259" s="22"/>
      <c r="DU259" s="22"/>
      <c r="DV259" s="22"/>
    </row>
    <row r="260" spans="61:126" x14ac:dyDescent="0.25">
      <c r="BI260" s="22"/>
      <c r="BJ260" s="22"/>
      <c r="BK260" s="22"/>
      <c r="BL260" s="22"/>
      <c r="BM260" s="66"/>
      <c r="BN260" s="66"/>
      <c r="BO260" s="23"/>
      <c r="BP260" s="23"/>
      <c r="BQ260" s="23"/>
      <c r="BR260" s="24"/>
      <c r="BS260" s="24"/>
      <c r="BT260" s="68"/>
      <c r="BU260" s="68"/>
      <c r="BV260" s="25"/>
      <c r="BW260" s="26"/>
      <c r="BX260" s="27"/>
      <c r="BY260" s="28"/>
      <c r="BZ260" s="28"/>
      <c r="CA260" s="28"/>
      <c r="CB260" s="28"/>
      <c r="CC260" s="28"/>
      <c r="CD260" s="28"/>
      <c r="CE260" s="28"/>
      <c r="CF260" s="28"/>
      <c r="CG260" s="28"/>
      <c r="CH260" s="28"/>
      <c r="CI260" s="28"/>
      <c r="CJ260" s="28"/>
      <c r="CK260" s="28"/>
      <c r="CL260" s="28"/>
      <c r="CM260" s="28"/>
      <c r="CN260" s="28"/>
      <c r="CO260" s="28"/>
      <c r="CP260" s="28"/>
      <c r="CQ260" s="28"/>
      <c r="CR260" s="28"/>
      <c r="CS260" s="28"/>
      <c r="CT260" s="28"/>
      <c r="CU260" s="28"/>
      <c r="CV260" s="28"/>
      <c r="CW260" s="28"/>
      <c r="CX260" s="28"/>
      <c r="CY260" s="28"/>
      <c r="CZ260" s="28"/>
      <c r="DA260" s="28"/>
      <c r="DB260" s="28"/>
      <c r="DC260" s="28"/>
      <c r="DD260" s="28"/>
      <c r="DE260" s="28"/>
      <c r="DF260" s="28"/>
      <c r="DG260" s="28"/>
      <c r="DH260" s="28"/>
      <c r="DI260" s="28"/>
      <c r="DJ260" s="28"/>
      <c r="DK260" s="29"/>
      <c r="DL260" s="29"/>
      <c r="DM260" s="29"/>
      <c r="DN260" s="29"/>
      <c r="DO260" s="29"/>
      <c r="DP260" s="29"/>
      <c r="DQ260" s="29"/>
      <c r="DR260" s="29"/>
      <c r="DS260" s="22"/>
      <c r="DT260" s="22"/>
      <c r="DU260" s="22"/>
      <c r="DV260" s="22"/>
    </row>
    <row r="261" spans="61:126" x14ac:dyDescent="0.25">
      <c r="BI261" s="22"/>
      <c r="BJ261" s="22"/>
      <c r="BK261" s="22"/>
      <c r="BL261" s="22"/>
      <c r="BM261" s="66"/>
      <c r="BN261" s="66"/>
      <c r="BO261" s="23"/>
      <c r="BP261" s="23"/>
      <c r="BQ261" s="23"/>
      <c r="BR261" s="24"/>
      <c r="BS261" s="24"/>
      <c r="BT261" s="68"/>
      <c r="BU261" s="68"/>
      <c r="BV261" s="25"/>
      <c r="BW261" s="26"/>
      <c r="BX261" s="27"/>
      <c r="BY261" s="28"/>
      <c r="BZ261" s="28"/>
      <c r="CA261" s="28"/>
      <c r="CB261" s="28"/>
      <c r="CC261" s="28"/>
      <c r="CD261" s="28"/>
      <c r="CE261" s="28"/>
      <c r="CF261" s="28"/>
      <c r="CG261" s="28"/>
      <c r="CH261" s="28"/>
      <c r="CI261" s="28"/>
      <c r="CJ261" s="28"/>
      <c r="CK261" s="28"/>
      <c r="CL261" s="28"/>
      <c r="CM261" s="28"/>
      <c r="CN261" s="28"/>
      <c r="CO261" s="28"/>
      <c r="CP261" s="28"/>
      <c r="CQ261" s="28"/>
      <c r="CR261" s="28"/>
      <c r="CS261" s="28"/>
      <c r="CT261" s="28"/>
      <c r="CU261" s="28"/>
      <c r="CV261" s="28"/>
      <c r="CW261" s="28"/>
      <c r="CX261" s="28"/>
      <c r="CY261" s="28"/>
      <c r="CZ261" s="28"/>
      <c r="DA261" s="28"/>
      <c r="DB261" s="28"/>
      <c r="DC261" s="28"/>
      <c r="DD261" s="28"/>
      <c r="DE261" s="28"/>
      <c r="DF261" s="28"/>
      <c r="DG261" s="28"/>
      <c r="DH261" s="28"/>
      <c r="DI261" s="28"/>
      <c r="DJ261" s="28"/>
      <c r="DK261" s="29"/>
      <c r="DL261" s="29"/>
      <c r="DM261" s="29"/>
      <c r="DN261" s="29"/>
      <c r="DO261" s="29"/>
      <c r="DP261" s="29"/>
      <c r="DQ261" s="29"/>
      <c r="DR261" s="29"/>
      <c r="DS261" s="22"/>
      <c r="DT261" s="22"/>
      <c r="DU261" s="22"/>
      <c r="DV261" s="22"/>
    </row>
    <row r="262" spans="61:126" x14ac:dyDescent="0.25">
      <c r="BI262" s="22"/>
      <c r="BJ262" s="22"/>
      <c r="BK262" s="22"/>
      <c r="BL262" s="22"/>
      <c r="BM262" s="66"/>
      <c r="BN262" s="66"/>
      <c r="BO262" s="23"/>
      <c r="BP262" s="23"/>
      <c r="BQ262" s="23"/>
      <c r="BR262" s="24"/>
      <c r="BS262" s="24"/>
      <c r="BT262" s="68"/>
      <c r="BU262" s="68"/>
      <c r="BV262" s="25"/>
      <c r="BW262" s="26"/>
      <c r="BX262" s="27"/>
      <c r="BY262" s="28"/>
      <c r="BZ262" s="28"/>
      <c r="CA262" s="28"/>
      <c r="CB262" s="28"/>
      <c r="CC262" s="28"/>
      <c r="CD262" s="28"/>
      <c r="CE262" s="28"/>
      <c r="CF262" s="28"/>
      <c r="CG262" s="28"/>
      <c r="CH262" s="28"/>
      <c r="CI262" s="28"/>
      <c r="CJ262" s="28"/>
      <c r="CK262" s="28"/>
      <c r="CL262" s="28"/>
      <c r="CM262" s="28"/>
      <c r="CN262" s="28"/>
      <c r="CO262" s="28"/>
      <c r="CP262" s="28"/>
      <c r="CQ262" s="28"/>
      <c r="CR262" s="28"/>
      <c r="CS262" s="28"/>
      <c r="CT262" s="28"/>
      <c r="CU262" s="28"/>
      <c r="CV262" s="28"/>
      <c r="CW262" s="28"/>
      <c r="CX262" s="28"/>
      <c r="CY262" s="28"/>
      <c r="CZ262" s="28"/>
      <c r="DA262" s="28"/>
      <c r="DB262" s="28"/>
      <c r="DC262" s="28"/>
      <c r="DD262" s="28"/>
      <c r="DE262" s="28"/>
      <c r="DF262" s="28"/>
      <c r="DG262" s="28"/>
      <c r="DH262" s="28"/>
      <c r="DI262" s="28"/>
      <c r="DJ262" s="28"/>
      <c r="DK262" s="29"/>
      <c r="DL262" s="29"/>
      <c r="DM262" s="29"/>
      <c r="DN262" s="29"/>
      <c r="DO262" s="29"/>
      <c r="DP262" s="29"/>
      <c r="DQ262" s="29"/>
      <c r="DR262" s="29"/>
      <c r="DS262" s="22"/>
      <c r="DT262" s="22"/>
      <c r="DU262" s="22"/>
      <c r="DV262" s="22"/>
    </row>
    <row r="263" spans="61:126" x14ac:dyDescent="0.25">
      <c r="BI263" s="22"/>
      <c r="BJ263" s="22"/>
      <c r="BK263" s="22"/>
      <c r="BL263" s="22"/>
      <c r="BM263" s="66"/>
      <c r="BN263" s="66"/>
      <c r="BO263" s="23"/>
      <c r="BP263" s="23"/>
      <c r="BQ263" s="23"/>
      <c r="BR263" s="24"/>
      <c r="BS263" s="24"/>
      <c r="BT263" s="68"/>
      <c r="BU263" s="68"/>
      <c r="BV263" s="25"/>
      <c r="BW263" s="26"/>
      <c r="BX263" s="27"/>
      <c r="BY263" s="28"/>
      <c r="BZ263" s="28"/>
      <c r="CA263" s="28"/>
      <c r="CB263" s="28"/>
      <c r="CC263" s="28"/>
      <c r="CD263" s="28"/>
      <c r="CE263" s="28"/>
      <c r="CF263" s="28"/>
      <c r="CG263" s="28"/>
      <c r="CH263" s="28"/>
      <c r="CI263" s="28"/>
      <c r="CJ263" s="28"/>
      <c r="CK263" s="28"/>
      <c r="CL263" s="28"/>
      <c r="CM263" s="28"/>
      <c r="CN263" s="28"/>
      <c r="CO263" s="28"/>
      <c r="CP263" s="28"/>
      <c r="CQ263" s="28"/>
      <c r="CR263" s="28"/>
      <c r="CS263" s="28"/>
      <c r="CT263" s="28"/>
      <c r="CU263" s="28"/>
      <c r="CV263" s="28"/>
      <c r="CW263" s="28"/>
      <c r="CX263" s="28"/>
      <c r="CY263" s="28"/>
      <c r="CZ263" s="28"/>
      <c r="DA263" s="28"/>
      <c r="DB263" s="28"/>
      <c r="DC263" s="28"/>
      <c r="DD263" s="28"/>
      <c r="DE263" s="28"/>
      <c r="DF263" s="28"/>
      <c r="DG263" s="28"/>
      <c r="DH263" s="28"/>
      <c r="DI263" s="28"/>
      <c r="DJ263" s="28"/>
      <c r="DK263" s="29"/>
      <c r="DL263" s="29"/>
      <c r="DM263" s="29"/>
      <c r="DN263" s="29"/>
      <c r="DO263" s="29"/>
      <c r="DP263" s="29"/>
      <c r="DQ263" s="29"/>
      <c r="DR263" s="29"/>
      <c r="DS263" s="22"/>
      <c r="DT263" s="22"/>
      <c r="DU263" s="22"/>
      <c r="DV263" s="22"/>
    </row>
    <row r="264" spans="61:126" x14ac:dyDescent="0.25">
      <c r="BI264" s="22"/>
      <c r="BJ264" s="22"/>
      <c r="BK264" s="22"/>
      <c r="BL264" s="22"/>
      <c r="BM264" s="66"/>
      <c r="BN264" s="66"/>
      <c r="BO264" s="23"/>
      <c r="BP264" s="23"/>
      <c r="BQ264" s="23"/>
      <c r="BR264" s="24"/>
      <c r="BS264" s="24"/>
      <c r="BT264" s="68"/>
      <c r="BU264" s="68"/>
      <c r="BV264" s="25"/>
      <c r="BW264" s="26"/>
      <c r="BX264" s="27"/>
      <c r="BY264" s="28"/>
      <c r="BZ264" s="28"/>
      <c r="CA264" s="28"/>
      <c r="CB264" s="28"/>
      <c r="CC264" s="28"/>
      <c r="CD264" s="28"/>
      <c r="CE264" s="28"/>
      <c r="CF264" s="28"/>
      <c r="CG264" s="28"/>
      <c r="CH264" s="28"/>
      <c r="CI264" s="28"/>
      <c r="CJ264" s="28"/>
      <c r="CK264" s="28"/>
      <c r="CL264" s="28"/>
      <c r="CM264" s="28"/>
      <c r="CN264" s="28"/>
      <c r="CO264" s="28"/>
      <c r="CP264" s="28"/>
      <c r="CQ264" s="28"/>
      <c r="CR264" s="28"/>
      <c r="CS264" s="28"/>
      <c r="CT264" s="28"/>
      <c r="CU264" s="28"/>
      <c r="CV264" s="28"/>
      <c r="CW264" s="28"/>
      <c r="CX264" s="28"/>
      <c r="CY264" s="28"/>
      <c r="CZ264" s="28"/>
      <c r="DA264" s="28"/>
      <c r="DB264" s="28"/>
      <c r="DC264" s="28"/>
      <c r="DD264" s="28"/>
      <c r="DE264" s="28"/>
      <c r="DF264" s="28"/>
      <c r="DG264" s="28"/>
      <c r="DH264" s="28"/>
      <c r="DI264" s="28"/>
      <c r="DJ264" s="28"/>
      <c r="DK264" s="29"/>
      <c r="DL264" s="29"/>
      <c r="DM264" s="29"/>
      <c r="DN264" s="29"/>
      <c r="DO264" s="29"/>
      <c r="DP264" s="29"/>
      <c r="DQ264" s="29"/>
      <c r="DR264" s="29"/>
      <c r="DS264" s="22"/>
      <c r="DT264" s="22"/>
      <c r="DU264" s="22"/>
      <c r="DV264" s="22"/>
    </row>
    <row r="265" spans="61:126" x14ac:dyDescent="0.25">
      <c r="BI265" s="22"/>
      <c r="BJ265" s="22"/>
      <c r="BK265" s="22"/>
      <c r="BL265" s="22"/>
      <c r="BM265" s="66"/>
      <c r="BN265" s="66"/>
      <c r="BO265" s="23"/>
      <c r="BP265" s="23"/>
      <c r="BQ265" s="23"/>
      <c r="BR265" s="24"/>
      <c r="BS265" s="24"/>
      <c r="BT265" s="68"/>
      <c r="BU265" s="68"/>
      <c r="BV265" s="25"/>
      <c r="BW265" s="26"/>
      <c r="BX265" s="27"/>
      <c r="BY265" s="28"/>
      <c r="BZ265" s="28"/>
      <c r="CA265" s="28"/>
      <c r="CB265" s="28"/>
      <c r="CC265" s="28"/>
      <c r="CD265" s="28"/>
      <c r="CE265" s="28"/>
      <c r="CF265" s="28"/>
      <c r="CG265" s="28"/>
      <c r="CH265" s="28"/>
      <c r="CI265" s="28"/>
      <c r="CJ265" s="28"/>
      <c r="CK265" s="28"/>
      <c r="CL265" s="28"/>
      <c r="CM265" s="28"/>
      <c r="CN265" s="28"/>
      <c r="CO265" s="28"/>
      <c r="CP265" s="28"/>
      <c r="CQ265" s="28"/>
      <c r="CR265" s="28"/>
      <c r="CS265" s="28"/>
      <c r="CT265" s="28"/>
      <c r="CU265" s="28"/>
      <c r="CV265" s="28"/>
      <c r="CW265" s="28"/>
      <c r="CX265" s="28"/>
      <c r="CY265" s="28"/>
      <c r="CZ265" s="28"/>
      <c r="DA265" s="28"/>
      <c r="DB265" s="28"/>
      <c r="DC265" s="28"/>
      <c r="DD265" s="28"/>
      <c r="DE265" s="28"/>
      <c r="DF265" s="28"/>
      <c r="DG265" s="28"/>
      <c r="DH265" s="28"/>
      <c r="DI265" s="28"/>
      <c r="DJ265" s="28"/>
      <c r="DK265" s="29"/>
      <c r="DL265" s="29"/>
      <c r="DM265" s="29"/>
      <c r="DN265" s="29"/>
      <c r="DO265" s="29"/>
      <c r="DP265" s="29"/>
      <c r="DQ265" s="29"/>
      <c r="DR265" s="29"/>
      <c r="DS265" s="22"/>
      <c r="DT265" s="22"/>
      <c r="DU265" s="22"/>
      <c r="DV265" s="22"/>
    </row>
    <row r="266" spans="61:126" x14ac:dyDescent="0.25">
      <c r="BI266" s="22"/>
      <c r="BJ266" s="22"/>
      <c r="BK266" s="22"/>
      <c r="BL266" s="22"/>
      <c r="BM266" s="66"/>
      <c r="BN266" s="66"/>
      <c r="BO266" s="23"/>
      <c r="BP266" s="23"/>
      <c r="BQ266" s="23"/>
      <c r="BR266" s="24"/>
      <c r="BS266" s="24"/>
      <c r="BT266" s="68"/>
      <c r="BU266" s="68"/>
      <c r="BV266" s="25"/>
      <c r="BW266" s="26"/>
      <c r="BX266" s="27"/>
      <c r="BY266" s="28"/>
      <c r="BZ266" s="28"/>
      <c r="CA266" s="28"/>
      <c r="CB266" s="28"/>
      <c r="CC266" s="28"/>
      <c r="CD266" s="28"/>
      <c r="CE266" s="28"/>
      <c r="CF266" s="28"/>
      <c r="CG266" s="28"/>
      <c r="CH266" s="28"/>
      <c r="CI266" s="28"/>
      <c r="CJ266" s="28"/>
      <c r="CK266" s="28"/>
      <c r="CL266" s="28"/>
      <c r="CM266" s="28"/>
      <c r="CN266" s="28"/>
      <c r="CO266" s="28"/>
      <c r="CP266" s="28"/>
      <c r="CQ266" s="28"/>
      <c r="CR266" s="28"/>
      <c r="CS266" s="28"/>
      <c r="CT266" s="28"/>
      <c r="CU266" s="28"/>
      <c r="CV266" s="28"/>
      <c r="CW266" s="28"/>
      <c r="CX266" s="28"/>
      <c r="CY266" s="28"/>
      <c r="CZ266" s="28"/>
      <c r="DA266" s="28"/>
      <c r="DB266" s="28"/>
      <c r="DC266" s="28"/>
      <c r="DD266" s="28"/>
      <c r="DE266" s="28"/>
      <c r="DF266" s="28"/>
      <c r="DG266" s="28"/>
      <c r="DH266" s="28"/>
      <c r="DI266" s="28"/>
      <c r="DJ266" s="28"/>
      <c r="DK266" s="29"/>
      <c r="DL266" s="29"/>
      <c r="DM266" s="29"/>
      <c r="DN266" s="29"/>
      <c r="DO266" s="29"/>
      <c r="DP266" s="29"/>
      <c r="DQ266" s="29"/>
      <c r="DR266" s="29"/>
      <c r="DS266" s="22"/>
      <c r="DT266" s="22"/>
      <c r="DU266" s="22"/>
      <c r="DV266" s="22"/>
    </row>
    <row r="267" spans="61:126" x14ac:dyDescent="0.25">
      <c r="BI267" s="22"/>
      <c r="BJ267" s="22"/>
      <c r="BK267" s="22"/>
      <c r="BL267" s="22"/>
      <c r="BM267" s="66"/>
      <c r="BN267" s="66"/>
      <c r="BO267" s="23"/>
      <c r="BP267" s="23"/>
      <c r="BQ267" s="23"/>
      <c r="BR267" s="24"/>
      <c r="BS267" s="24"/>
      <c r="BT267" s="68"/>
      <c r="BU267" s="68"/>
      <c r="BV267" s="25"/>
      <c r="BW267" s="26"/>
      <c r="BX267" s="27"/>
      <c r="BY267" s="28"/>
      <c r="BZ267" s="28"/>
      <c r="CA267" s="28"/>
      <c r="CB267" s="28"/>
      <c r="CC267" s="28"/>
      <c r="CD267" s="28"/>
      <c r="CE267" s="28"/>
      <c r="CF267" s="28"/>
      <c r="CG267" s="28"/>
      <c r="CH267" s="28"/>
      <c r="CI267" s="28"/>
      <c r="CJ267" s="28"/>
      <c r="CK267" s="28"/>
      <c r="CL267" s="28"/>
      <c r="CM267" s="28"/>
      <c r="CN267" s="28"/>
      <c r="CO267" s="28"/>
      <c r="CP267" s="28"/>
      <c r="CQ267" s="28"/>
      <c r="CR267" s="28"/>
      <c r="CS267" s="28"/>
      <c r="CT267" s="28"/>
      <c r="CU267" s="28"/>
      <c r="CV267" s="28"/>
      <c r="CW267" s="28"/>
      <c r="CX267" s="28"/>
      <c r="CY267" s="28"/>
      <c r="CZ267" s="28"/>
      <c r="DA267" s="28"/>
      <c r="DB267" s="28"/>
      <c r="DC267" s="28"/>
      <c r="DD267" s="28"/>
      <c r="DE267" s="28"/>
      <c r="DF267" s="28"/>
      <c r="DG267" s="28"/>
      <c r="DH267" s="28"/>
      <c r="DI267" s="28"/>
      <c r="DJ267" s="28"/>
      <c r="DK267" s="29"/>
      <c r="DL267" s="29"/>
      <c r="DM267" s="29"/>
      <c r="DN267" s="29"/>
      <c r="DO267" s="29"/>
      <c r="DP267" s="29"/>
      <c r="DQ267" s="29"/>
      <c r="DR267" s="29"/>
      <c r="DS267" s="22"/>
      <c r="DT267" s="22"/>
      <c r="DU267" s="22"/>
      <c r="DV267" s="22"/>
    </row>
    <row r="268" spans="61:126" x14ac:dyDescent="0.25">
      <c r="BI268" s="22"/>
      <c r="BJ268" s="22"/>
      <c r="BK268" s="22"/>
      <c r="BL268" s="22"/>
      <c r="BM268" s="66"/>
      <c r="BN268" s="66"/>
      <c r="BO268" s="23"/>
      <c r="BP268" s="23"/>
      <c r="BQ268" s="23"/>
      <c r="BR268" s="24"/>
      <c r="BS268" s="24"/>
      <c r="BT268" s="68"/>
      <c r="BU268" s="68"/>
      <c r="BV268" s="25"/>
      <c r="BW268" s="26"/>
      <c r="BX268" s="27"/>
      <c r="BY268" s="28"/>
      <c r="BZ268" s="28"/>
      <c r="CA268" s="28"/>
      <c r="CB268" s="28"/>
      <c r="CC268" s="28"/>
      <c r="CD268" s="28"/>
      <c r="CE268" s="28"/>
      <c r="CF268" s="28"/>
      <c r="CG268" s="28"/>
      <c r="CH268" s="28"/>
      <c r="CI268" s="28"/>
      <c r="CJ268" s="28"/>
      <c r="CK268" s="28"/>
      <c r="CL268" s="28"/>
      <c r="CM268" s="28"/>
      <c r="CN268" s="28"/>
      <c r="CO268" s="28"/>
      <c r="CP268" s="28"/>
      <c r="CQ268" s="28"/>
      <c r="CR268" s="28"/>
      <c r="CS268" s="28"/>
      <c r="CT268" s="28"/>
      <c r="CU268" s="28"/>
      <c r="CV268" s="28"/>
      <c r="CW268" s="28"/>
      <c r="CX268" s="28"/>
      <c r="CY268" s="28"/>
      <c r="CZ268" s="28"/>
      <c r="DA268" s="28"/>
      <c r="DB268" s="28"/>
      <c r="DC268" s="28"/>
      <c r="DD268" s="28"/>
      <c r="DE268" s="28"/>
      <c r="DF268" s="28"/>
      <c r="DG268" s="28"/>
      <c r="DH268" s="28"/>
      <c r="DI268" s="28"/>
      <c r="DJ268" s="28"/>
      <c r="DK268" s="29"/>
      <c r="DL268" s="29"/>
      <c r="DM268" s="29"/>
      <c r="DN268" s="29"/>
      <c r="DO268" s="29"/>
      <c r="DP268" s="29"/>
      <c r="DQ268" s="29"/>
      <c r="DR268" s="29"/>
      <c r="DS268" s="22"/>
      <c r="DT268" s="22"/>
      <c r="DU268" s="22"/>
      <c r="DV268" s="22"/>
    </row>
    <row r="269" spans="61:126" x14ac:dyDescent="0.25">
      <c r="BI269" s="22"/>
      <c r="BJ269" s="22"/>
      <c r="BK269" s="22"/>
      <c r="BL269" s="22"/>
      <c r="BM269" s="66"/>
      <c r="BN269" s="66"/>
      <c r="BO269" s="23"/>
      <c r="BP269" s="23"/>
      <c r="BQ269" s="23"/>
      <c r="BR269" s="24"/>
      <c r="BS269" s="24"/>
      <c r="BT269" s="68"/>
      <c r="BU269" s="68"/>
      <c r="BV269" s="25"/>
      <c r="BW269" s="26"/>
      <c r="BX269" s="27"/>
      <c r="BY269" s="28"/>
      <c r="BZ269" s="28"/>
      <c r="CA269" s="28"/>
      <c r="CB269" s="28"/>
      <c r="CC269" s="28"/>
      <c r="CD269" s="28"/>
      <c r="CE269" s="28"/>
      <c r="CF269" s="28"/>
      <c r="CG269" s="28"/>
      <c r="CH269" s="28"/>
      <c r="CI269" s="28"/>
      <c r="CJ269" s="28"/>
      <c r="CK269" s="28"/>
      <c r="CL269" s="28"/>
      <c r="CM269" s="28"/>
      <c r="CN269" s="28"/>
      <c r="CO269" s="28"/>
      <c r="CP269" s="28"/>
      <c r="CQ269" s="28"/>
      <c r="CR269" s="28"/>
      <c r="CS269" s="28"/>
      <c r="CT269" s="28"/>
      <c r="CU269" s="28"/>
      <c r="CV269" s="28"/>
      <c r="CW269" s="28"/>
      <c r="CX269" s="28"/>
      <c r="CY269" s="28"/>
      <c r="CZ269" s="28"/>
      <c r="DA269" s="28"/>
      <c r="DB269" s="28"/>
      <c r="DC269" s="28"/>
      <c r="DD269" s="28"/>
      <c r="DE269" s="28"/>
      <c r="DF269" s="28"/>
      <c r="DG269" s="28"/>
      <c r="DH269" s="28"/>
      <c r="DI269" s="28"/>
      <c r="DJ269" s="28"/>
      <c r="DK269" s="29"/>
      <c r="DL269" s="29"/>
      <c r="DM269" s="29"/>
      <c r="DN269" s="29"/>
      <c r="DO269" s="29"/>
      <c r="DP269" s="29"/>
      <c r="DQ269" s="29"/>
      <c r="DR269" s="29"/>
      <c r="DS269" s="22"/>
      <c r="DT269" s="22"/>
      <c r="DU269" s="22"/>
      <c r="DV269" s="22"/>
    </row>
    <row r="270" spans="61:126" x14ac:dyDescent="0.25">
      <c r="BI270" s="22"/>
      <c r="BJ270" s="22"/>
      <c r="BK270" s="22"/>
      <c r="BL270" s="22"/>
      <c r="BM270" s="66"/>
      <c r="BN270" s="66"/>
      <c r="BO270" s="23"/>
      <c r="BP270" s="23"/>
      <c r="BQ270" s="23"/>
      <c r="BR270" s="24"/>
      <c r="BS270" s="24"/>
      <c r="BT270" s="68"/>
      <c r="BU270" s="68"/>
      <c r="BV270" s="25"/>
      <c r="BW270" s="26"/>
      <c r="BX270" s="27"/>
      <c r="BY270" s="28"/>
      <c r="BZ270" s="28"/>
      <c r="CA270" s="28"/>
      <c r="CB270" s="28"/>
      <c r="CC270" s="28"/>
      <c r="CD270" s="28"/>
      <c r="CE270" s="28"/>
      <c r="CF270" s="28"/>
      <c r="CG270" s="28"/>
      <c r="CH270" s="28"/>
      <c r="CI270" s="28"/>
      <c r="CJ270" s="28"/>
      <c r="CK270" s="28"/>
      <c r="CL270" s="28"/>
      <c r="CM270" s="28"/>
      <c r="CN270" s="28"/>
      <c r="CO270" s="28"/>
      <c r="CP270" s="28"/>
      <c r="CQ270" s="28"/>
      <c r="CR270" s="28"/>
      <c r="CS270" s="28"/>
      <c r="CT270" s="28"/>
      <c r="CU270" s="28"/>
      <c r="CV270" s="28"/>
      <c r="CW270" s="28"/>
      <c r="CX270" s="28"/>
      <c r="CY270" s="28"/>
      <c r="CZ270" s="28"/>
      <c r="DA270" s="28"/>
      <c r="DB270" s="28"/>
      <c r="DC270" s="28"/>
      <c r="DD270" s="28"/>
      <c r="DE270" s="28"/>
      <c r="DF270" s="28"/>
      <c r="DG270" s="28"/>
      <c r="DH270" s="28"/>
      <c r="DI270" s="28"/>
      <c r="DJ270" s="28"/>
      <c r="DK270" s="29"/>
      <c r="DL270" s="29"/>
      <c r="DM270" s="29"/>
      <c r="DN270" s="29"/>
      <c r="DO270" s="29"/>
      <c r="DP270" s="29"/>
      <c r="DQ270" s="29"/>
      <c r="DR270" s="29"/>
      <c r="DS270" s="22"/>
      <c r="DT270" s="22"/>
      <c r="DU270" s="22"/>
      <c r="DV270" s="22"/>
    </row>
    <row r="271" spans="61:126" x14ac:dyDescent="0.25">
      <c r="BI271" s="22"/>
      <c r="BJ271" s="22"/>
      <c r="BK271" s="22"/>
      <c r="BL271" s="22"/>
      <c r="BM271" s="66"/>
      <c r="BN271" s="66"/>
      <c r="BO271" s="23"/>
      <c r="BP271" s="23"/>
      <c r="BQ271" s="23"/>
      <c r="BR271" s="24"/>
      <c r="BS271" s="24"/>
      <c r="BT271" s="68"/>
      <c r="BU271" s="68"/>
      <c r="BV271" s="25"/>
      <c r="BW271" s="26"/>
      <c r="BX271" s="27"/>
      <c r="BY271" s="28"/>
      <c r="BZ271" s="28"/>
      <c r="CA271" s="28"/>
      <c r="CB271" s="28"/>
      <c r="CC271" s="28"/>
      <c r="CD271" s="28"/>
      <c r="CE271" s="28"/>
      <c r="CF271" s="28"/>
      <c r="CG271" s="28"/>
      <c r="CH271" s="28"/>
      <c r="CI271" s="28"/>
      <c r="CJ271" s="28"/>
      <c r="CK271" s="28"/>
      <c r="CL271" s="28"/>
      <c r="CM271" s="28"/>
      <c r="CN271" s="28"/>
      <c r="CO271" s="28"/>
      <c r="CP271" s="28"/>
      <c r="CQ271" s="28"/>
      <c r="CR271" s="28"/>
      <c r="CS271" s="28"/>
      <c r="CT271" s="28"/>
      <c r="CU271" s="28"/>
      <c r="CV271" s="28"/>
      <c r="CW271" s="28"/>
      <c r="CX271" s="28"/>
      <c r="CY271" s="28"/>
      <c r="CZ271" s="28"/>
      <c r="DA271" s="28"/>
      <c r="DB271" s="28"/>
      <c r="DC271" s="28"/>
      <c r="DD271" s="28"/>
      <c r="DE271" s="28"/>
      <c r="DF271" s="28"/>
      <c r="DG271" s="28"/>
      <c r="DH271" s="28"/>
      <c r="DI271" s="28"/>
      <c r="DJ271" s="28"/>
      <c r="DK271" s="29"/>
      <c r="DL271" s="29"/>
      <c r="DM271" s="29"/>
      <c r="DN271" s="29"/>
      <c r="DO271" s="29"/>
      <c r="DP271" s="29"/>
      <c r="DQ271" s="29"/>
      <c r="DR271" s="29"/>
      <c r="DS271" s="22"/>
      <c r="DT271" s="22"/>
      <c r="DU271" s="22"/>
      <c r="DV271" s="22"/>
    </row>
    <row r="272" spans="61:126" x14ac:dyDescent="0.25">
      <c r="BI272" s="22"/>
      <c r="BJ272" s="22"/>
      <c r="BK272" s="22"/>
      <c r="BL272" s="22"/>
      <c r="BM272" s="66"/>
      <c r="BN272" s="66"/>
      <c r="BO272" s="23"/>
      <c r="BP272" s="23"/>
      <c r="BQ272" s="23"/>
      <c r="BR272" s="24"/>
      <c r="BS272" s="24"/>
      <c r="BT272" s="68"/>
      <c r="BU272" s="68"/>
      <c r="BV272" s="25"/>
      <c r="BW272" s="26"/>
      <c r="BX272" s="27"/>
      <c r="BY272" s="28"/>
      <c r="BZ272" s="28"/>
      <c r="CA272" s="28"/>
      <c r="CB272" s="28"/>
      <c r="CC272" s="28"/>
      <c r="CD272" s="28"/>
      <c r="CE272" s="28"/>
      <c r="CF272" s="28"/>
      <c r="CG272" s="28"/>
      <c r="CH272" s="28"/>
      <c r="CI272" s="28"/>
      <c r="CJ272" s="28"/>
      <c r="CK272" s="28"/>
      <c r="CL272" s="28"/>
      <c r="CM272" s="28"/>
      <c r="CN272" s="28"/>
      <c r="CO272" s="28"/>
      <c r="CP272" s="28"/>
      <c r="CQ272" s="28"/>
      <c r="CR272" s="28"/>
      <c r="CS272" s="28"/>
      <c r="CT272" s="28"/>
      <c r="CU272" s="28"/>
      <c r="CV272" s="28"/>
      <c r="CW272" s="28"/>
      <c r="CX272" s="28"/>
      <c r="CY272" s="28"/>
      <c r="CZ272" s="28"/>
      <c r="DA272" s="28"/>
      <c r="DB272" s="28"/>
      <c r="DC272" s="28"/>
      <c r="DD272" s="28"/>
      <c r="DE272" s="28"/>
      <c r="DF272" s="28"/>
      <c r="DG272" s="28"/>
      <c r="DH272" s="28"/>
      <c r="DI272" s="28"/>
      <c r="DJ272" s="28"/>
      <c r="DK272" s="29"/>
      <c r="DL272" s="29"/>
      <c r="DM272" s="29"/>
      <c r="DN272" s="29"/>
      <c r="DO272" s="29"/>
      <c r="DP272" s="29"/>
      <c r="DQ272" s="29"/>
      <c r="DR272" s="29"/>
      <c r="DS272" s="22"/>
      <c r="DT272" s="22"/>
      <c r="DU272" s="22"/>
      <c r="DV272" s="22"/>
    </row>
    <row r="273" spans="61:126" x14ac:dyDescent="0.25">
      <c r="BI273" s="22"/>
      <c r="BJ273" s="22"/>
      <c r="BK273" s="22"/>
      <c r="BL273" s="22"/>
      <c r="BM273" s="66"/>
      <c r="BN273" s="66"/>
      <c r="BO273" s="23"/>
      <c r="BP273" s="23"/>
      <c r="BQ273" s="23"/>
      <c r="BR273" s="24"/>
      <c r="BS273" s="24"/>
      <c r="BT273" s="68"/>
      <c r="BU273" s="68"/>
      <c r="BV273" s="25"/>
      <c r="BW273" s="26"/>
      <c r="BX273" s="27"/>
      <c r="BY273" s="28"/>
      <c r="BZ273" s="28"/>
      <c r="CA273" s="28"/>
      <c r="CB273" s="28"/>
      <c r="CC273" s="28"/>
      <c r="CD273" s="28"/>
      <c r="CE273" s="28"/>
      <c r="CF273" s="28"/>
      <c r="CG273" s="28"/>
      <c r="CH273" s="28"/>
      <c r="CI273" s="28"/>
      <c r="CJ273" s="28"/>
      <c r="CK273" s="28"/>
      <c r="CL273" s="28"/>
      <c r="CM273" s="28"/>
      <c r="CN273" s="28"/>
      <c r="CO273" s="28"/>
      <c r="CP273" s="28"/>
      <c r="CQ273" s="28"/>
      <c r="CR273" s="28"/>
      <c r="CS273" s="28"/>
      <c r="CT273" s="28"/>
      <c r="CU273" s="28"/>
      <c r="CV273" s="28"/>
      <c r="CW273" s="28"/>
      <c r="CX273" s="28"/>
      <c r="CY273" s="28"/>
      <c r="CZ273" s="28"/>
      <c r="DA273" s="28"/>
      <c r="DB273" s="28"/>
      <c r="DC273" s="28"/>
      <c r="DD273" s="28"/>
      <c r="DE273" s="28"/>
      <c r="DF273" s="28"/>
      <c r="DG273" s="28"/>
      <c r="DH273" s="28"/>
      <c r="DI273" s="28"/>
      <c r="DJ273" s="28"/>
      <c r="DK273" s="29"/>
      <c r="DL273" s="29"/>
      <c r="DM273" s="29"/>
      <c r="DN273" s="29"/>
      <c r="DO273" s="29"/>
      <c r="DP273" s="29"/>
      <c r="DQ273" s="29"/>
      <c r="DR273" s="29"/>
      <c r="DS273" s="22"/>
      <c r="DT273" s="22"/>
      <c r="DU273" s="22"/>
      <c r="DV273" s="22"/>
    </row>
    <row r="274" spans="61:126" x14ac:dyDescent="0.25">
      <c r="BI274" s="22"/>
      <c r="BJ274" s="22"/>
      <c r="BK274" s="22"/>
      <c r="BL274" s="22"/>
      <c r="BM274" s="66"/>
      <c r="BN274" s="66"/>
      <c r="BO274" s="23"/>
      <c r="BP274" s="23"/>
      <c r="BQ274" s="23"/>
      <c r="BR274" s="24"/>
      <c r="BS274" s="24"/>
      <c r="BT274" s="68"/>
      <c r="BU274" s="68"/>
      <c r="BV274" s="25"/>
      <c r="BW274" s="26"/>
      <c r="BX274" s="27"/>
      <c r="BY274" s="28"/>
      <c r="BZ274" s="28"/>
      <c r="CA274" s="28"/>
      <c r="CB274" s="28"/>
      <c r="CC274" s="28"/>
      <c r="CD274" s="28"/>
      <c r="CE274" s="28"/>
      <c r="CF274" s="28"/>
      <c r="CG274" s="28"/>
      <c r="CH274" s="28"/>
      <c r="CI274" s="28"/>
      <c r="CJ274" s="28"/>
      <c r="CK274" s="28"/>
      <c r="CL274" s="28"/>
      <c r="CM274" s="28"/>
      <c r="CN274" s="28"/>
      <c r="CO274" s="28"/>
      <c r="CP274" s="28"/>
      <c r="CQ274" s="28"/>
      <c r="CR274" s="28"/>
      <c r="CS274" s="28"/>
      <c r="CT274" s="28"/>
      <c r="CU274" s="28"/>
      <c r="CV274" s="28"/>
      <c r="CW274" s="28"/>
      <c r="CX274" s="28"/>
      <c r="CY274" s="28"/>
      <c r="CZ274" s="28"/>
      <c r="DA274" s="28"/>
      <c r="DB274" s="28"/>
      <c r="DC274" s="28"/>
      <c r="DD274" s="28"/>
      <c r="DE274" s="28"/>
      <c r="DF274" s="28"/>
      <c r="DG274" s="28"/>
      <c r="DH274" s="28"/>
      <c r="DI274" s="28"/>
      <c r="DJ274" s="28"/>
      <c r="DK274" s="29"/>
      <c r="DL274" s="29"/>
      <c r="DM274" s="29"/>
      <c r="DN274" s="29"/>
      <c r="DO274" s="29"/>
      <c r="DP274" s="29"/>
      <c r="DQ274" s="29"/>
      <c r="DR274" s="29"/>
      <c r="DS274" s="22"/>
      <c r="DT274" s="22"/>
      <c r="DU274" s="22"/>
      <c r="DV274" s="22"/>
    </row>
    <row r="275" spans="61:126" x14ac:dyDescent="0.25">
      <c r="BI275" s="22"/>
      <c r="BJ275" s="22"/>
      <c r="BK275" s="22"/>
      <c r="BL275" s="22"/>
      <c r="BM275" s="66"/>
      <c r="BN275" s="66"/>
      <c r="BO275" s="23"/>
      <c r="BP275" s="23"/>
      <c r="BQ275" s="23"/>
      <c r="BR275" s="24"/>
      <c r="BS275" s="24"/>
      <c r="BT275" s="68"/>
      <c r="BU275" s="68"/>
      <c r="BV275" s="25"/>
      <c r="BW275" s="26"/>
      <c r="BX275" s="27"/>
      <c r="BY275" s="28"/>
      <c r="BZ275" s="28"/>
      <c r="CA275" s="28"/>
      <c r="CB275" s="28"/>
      <c r="CC275" s="28"/>
      <c r="CD275" s="28"/>
      <c r="CE275" s="28"/>
      <c r="CF275" s="28"/>
      <c r="CG275" s="28"/>
      <c r="CH275" s="28"/>
      <c r="CI275" s="28"/>
      <c r="CJ275" s="28"/>
      <c r="CK275" s="28"/>
      <c r="CL275" s="28"/>
      <c r="CM275" s="28"/>
      <c r="CN275" s="28"/>
      <c r="CO275" s="28"/>
      <c r="CP275" s="28"/>
      <c r="CQ275" s="28"/>
      <c r="CR275" s="28"/>
      <c r="CS275" s="28"/>
      <c r="CT275" s="28"/>
      <c r="CU275" s="28"/>
      <c r="CV275" s="28"/>
      <c r="CW275" s="28"/>
      <c r="CX275" s="28"/>
      <c r="CY275" s="28"/>
      <c r="CZ275" s="28"/>
      <c r="DA275" s="28"/>
      <c r="DB275" s="28"/>
      <c r="DC275" s="28"/>
      <c r="DD275" s="28"/>
      <c r="DE275" s="28"/>
      <c r="DF275" s="28"/>
      <c r="DG275" s="28"/>
      <c r="DH275" s="28"/>
      <c r="DI275" s="28"/>
      <c r="DJ275" s="28"/>
      <c r="DK275" s="29"/>
      <c r="DL275" s="29"/>
      <c r="DM275" s="29"/>
      <c r="DN275" s="29"/>
      <c r="DO275" s="29"/>
      <c r="DP275" s="29"/>
      <c r="DQ275" s="29"/>
      <c r="DR275" s="29"/>
      <c r="DS275" s="22"/>
      <c r="DT275" s="22"/>
      <c r="DU275" s="22"/>
      <c r="DV275" s="22"/>
    </row>
    <row r="276" spans="61:126" x14ac:dyDescent="0.25">
      <c r="BI276" s="22"/>
      <c r="BJ276" s="22"/>
      <c r="BK276" s="22"/>
      <c r="BL276" s="22"/>
      <c r="BM276" s="66"/>
      <c r="BN276" s="66"/>
      <c r="BO276" s="23"/>
      <c r="BP276" s="23"/>
      <c r="BQ276" s="23"/>
      <c r="BR276" s="24"/>
      <c r="BS276" s="24"/>
      <c r="BT276" s="68"/>
      <c r="BU276" s="68"/>
      <c r="BV276" s="25"/>
      <c r="BW276" s="26"/>
      <c r="BX276" s="27"/>
      <c r="BY276" s="28"/>
      <c r="BZ276" s="28"/>
      <c r="CA276" s="28"/>
      <c r="CB276" s="28"/>
      <c r="CC276" s="28"/>
      <c r="CD276" s="28"/>
      <c r="CE276" s="28"/>
      <c r="CF276" s="28"/>
      <c r="CG276" s="28"/>
      <c r="CH276" s="28"/>
      <c r="CI276" s="28"/>
      <c r="CJ276" s="28"/>
      <c r="CK276" s="28"/>
      <c r="CL276" s="28"/>
      <c r="CM276" s="28"/>
      <c r="CN276" s="28"/>
      <c r="CO276" s="28"/>
      <c r="CP276" s="28"/>
      <c r="CQ276" s="28"/>
      <c r="CR276" s="28"/>
      <c r="CS276" s="28"/>
      <c r="CT276" s="28"/>
      <c r="CU276" s="28"/>
      <c r="CV276" s="28"/>
      <c r="CW276" s="28"/>
      <c r="CX276" s="28"/>
      <c r="CY276" s="28"/>
      <c r="CZ276" s="28"/>
      <c r="DA276" s="28"/>
      <c r="DB276" s="28"/>
      <c r="DC276" s="28"/>
      <c r="DD276" s="28"/>
      <c r="DE276" s="28"/>
      <c r="DF276" s="28"/>
      <c r="DG276" s="28"/>
      <c r="DH276" s="28"/>
      <c r="DI276" s="28"/>
      <c r="DJ276" s="28"/>
      <c r="DK276" s="29"/>
      <c r="DL276" s="29"/>
      <c r="DM276" s="29"/>
      <c r="DN276" s="29"/>
      <c r="DO276" s="29"/>
      <c r="DP276" s="29"/>
      <c r="DQ276" s="29"/>
      <c r="DR276" s="29"/>
      <c r="DS276" s="22"/>
      <c r="DT276" s="22"/>
      <c r="DU276" s="22"/>
      <c r="DV276" s="22"/>
    </row>
    <row r="277" spans="61:126" x14ac:dyDescent="0.25">
      <c r="BI277" s="22"/>
      <c r="BJ277" s="22"/>
      <c r="BK277" s="22"/>
      <c r="BL277" s="22"/>
      <c r="BM277" s="66"/>
      <c r="BN277" s="66"/>
      <c r="BO277" s="23"/>
      <c r="BP277" s="23"/>
      <c r="BQ277" s="23"/>
      <c r="BR277" s="24"/>
      <c r="BS277" s="24"/>
      <c r="BT277" s="68"/>
      <c r="BU277" s="68"/>
      <c r="BV277" s="25"/>
      <c r="BW277" s="26"/>
      <c r="BX277" s="27"/>
      <c r="BY277" s="28"/>
      <c r="BZ277" s="28"/>
      <c r="CA277" s="28"/>
      <c r="CB277" s="28"/>
      <c r="CC277" s="28"/>
      <c r="CD277" s="28"/>
      <c r="CE277" s="28"/>
      <c r="CF277" s="28"/>
      <c r="CG277" s="28"/>
      <c r="CH277" s="28"/>
      <c r="CI277" s="28"/>
      <c r="CJ277" s="28"/>
      <c r="CK277" s="28"/>
      <c r="CL277" s="28"/>
      <c r="CM277" s="28"/>
      <c r="CN277" s="28"/>
      <c r="CO277" s="28"/>
      <c r="CP277" s="28"/>
      <c r="CQ277" s="28"/>
      <c r="CR277" s="28"/>
      <c r="CS277" s="28"/>
      <c r="CT277" s="28"/>
      <c r="CU277" s="28"/>
      <c r="CV277" s="28"/>
      <c r="CW277" s="28"/>
      <c r="CX277" s="28"/>
      <c r="CY277" s="28"/>
      <c r="CZ277" s="28"/>
      <c r="DA277" s="28"/>
      <c r="DB277" s="28"/>
      <c r="DC277" s="28"/>
      <c r="DD277" s="28"/>
      <c r="DE277" s="28"/>
      <c r="DF277" s="28"/>
      <c r="DG277" s="28"/>
      <c r="DH277" s="28"/>
      <c r="DI277" s="28"/>
      <c r="DJ277" s="28"/>
      <c r="DK277" s="29"/>
      <c r="DL277" s="29"/>
      <c r="DM277" s="29"/>
      <c r="DN277" s="29"/>
      <c r="DO277" s="29"/>
      <c r="DP277" s="29"/>
      <c r="DQ277" s="29"/>
      <c r="DR277" s="29"/>
      <c r="DS277" s="22"/>
      <c r="DT277" s="22"/>
      <c r="DU277" s="22"/>
      <c r="DV277" s="22"/>
    </row>
    <row r="278" spans="61:126" x14ac:dyDescent="0.25">
      <c r="BI278" s="22"/>
      <c r="BJ278" s="22"/>
      <c r="BK278" s="22"/>
      <c r="BL278" s="22"/>
      <c r="BM278" s="66"/>
      <c r="BN278" s="66"/>
      <c r="BO278" s="23"/>
      <c r="BP278" s="23"/>
      <c r="BQ278" s="23"/>
      <c r="BR278" s="24"/>
      <c r="BS278" s="24"/>
      <c r="BT278" s="68"/>
      <c r="BU278" s="68"/>
      <c r="BV278" s="25"/>
      <c r="BW278" s="26"/>
      <c r="BX278" s="27"/>
      <c r="BY278" s="28"/>
      <c r="BZ278" s="28"/>
      <c r="CA278" s="28"/>
      <c r="CB278" s="28"/>
      <c r="CC278" s="28"/>
      <c r="CD278" s="28"/>
      <c r="CE278" s="28"/>
      <c r="CF278" s="28"/>
      <c r="CG278" s="28"/>
      <c r="CH278" s="28"/>
      <c r="CI278" s="28"/>
      <c r="CJ278" s="28"/>
      <c r="CK278" s="28"/>
      <c r="CL278" s="28"/>
      <c r="CM278" s="28"/>
      <c r="CN278" s="28"/>
      <c r="CO278" s="28"/>
      <c r="CP278" s="28"/>
      <c r="CQ278" s="28"/>
      <c r="CR278" s="28"/>
      <c r="CS278" s="28"/>
      <c r="CT278" s="28"/>
      <c r="CU278" s="28"/>
      <c r="CV278" s="28"/>
      <c r="CW278" s="28"/>
      <c r="CX278" s="28"/>
      <c r="CY278" s="28"/>
      <c r="CZ278" s="28"/>
      <c r="DA278" s="28"/>
      <c r="DB278" s="28"/>
      <c r="DC278" s="28"/>
      <c r="DD278" s="28"/>
      <c r="DE278" s="28"/>
      <c r="DF278" s="28"/>
      <c r="DG278" s="28"/>
      <c r="DH278" s="28"/>
      <c r="DI278" s="28"/>
      <c r="DJ278" s="28"/>
      <c r="DK278" s="29"/>
      <c r="DL278" s="29"/>
      <c r="DM278" s="29"/>
      <c r="DN278" s="29"/>
      <c r="DO278" s="29"/>
      <c r="DP278" s="29"/>
      <c r="DQ278" s="29"/>
      <c r="DR278" s="29"/>
      <c r="DS278" s="22"/>
      <c r="DT278" s="22"/>
      <c r="DU278" s="22"/>
      <c r="DV278" s="22"/>
    </row>
    <row r="279" spans="61:126" x14ac:dyDescent="0.25">
      <c r="BI279" s="22"/>
      <c r="BJ279" s="22"/>
      <c r="BK279" s="22"/>
      <c r="BL279" s="22"/>
      <c r="BM279" s="66"/>
      <c r="BN279" s="66"/>
      <c r="BO279" s="23"/>
      <c r="BP279" s="23"/>
      <c r="BQ279" s="23"/>
      <c r="BR279" s="24"/>
      <c r="BS279" s="24"/>
      <c r="BT279" s="68"/>
      <c r="BU279" s="68"/>
      <c r="BV279" s="25"/>
      <c r="BW279" s="26"/>
      <c r="BX279" s="27"/>
      <c r="BY279" s="28"/>
      <c r="BZ279" s="28"/>
      <c r="CA279" s="28"/>
      <c r="CB279" s="28"/>
      <c r="CC279" s="28"/>
      <c r="CD279" s="28"/>
      <c r="CE279" s="28"/>
      <c r="CF279" s="28"/>
      <c r="CG279" s="28"/>
      <c r="CH279" s="28"/>
      <c r="CI279" s="28"/>
      <c r="CJ279" s="28"/>
      <c r="CK279" s="28"/>
      <c r="CL279" s="28"/>
      <c r="CM279" s="28"/>
      <c r="CN279" s="28"/>
      <c r="CO279" s="28"/>
      <c r="CP279" s="28"/>
      <c r="CQ279" s="28"/>
      <c r="CR279" s="28"/>
      <c r="CS279" s="28"/>
      <c r="CT279" s="28"/>
      <c r="CU279" s="28"/>
      <c r="CV279" s="28"/>
      <c r="CW279" s="28"/>
      <c r="CX279" s="28"/>
      <c r="CY279" s="28"/>
      <c r="CZ279" s="28"/>
      <c r="DA279" s="28"/>
      <c r="DB279" s="28"/>
      <c r="DC279" s="28"/>
      <c r="DD279" s="28"/>
      <c r="DE279" s="28"/>
      <c r="DF279" s="28"/>
      <c r="DG279" s="28"/>
      <c r="DH279" s="28"/>
      <c r="DI279" s="28"/>
      <c r="DJ279" s="28"/>
      <c r="DK279" s="29"/>
      <c r="DL279" s="29"/>
      <c r="DM279" s="29"/>
      <c r="DN279" s="29"/>
      <c r="DO279" s="29"/>
      <c r="DP279" s="29"/>
      <c r="DQ279" s="29"/>
      <c r="DR279" s="29"/>
      <c r="DS279" s="22"/>
      <c r="DT279" s="22"/>
      <c r="DU279" s="22"/>
      <c r="DV279" s="22"/>
    </row>
    <row r="280" spans="61:126" x14ac:dyDescent="0.25">
      <c r="BI280" s="22"/>
      <c r="BJ280" s="22"/>
      <c r="BK280" s="22"/>
      <c r="BL280" s="22"/>
      <c r="BM280" s="66"/>
      <c r="BN280" s="66"/>
      <c r="BO280" s="23"/>
      <c r="BP280" s="23"/>
      <c r="BQ280" s="23"/>
      <c r="BR280" s="24"/>
      <c r="BS280" s="24"/>
      <c r="BT280" s="68"/>
      <c r="BU280" s="68"/>
      <c r="BV280" s="25"/>
      <c r="BW280" s="26"/>
      <c r="BX280" s="27"/>
      <c r="BY280" s="28"/>
      <c r="BZ280" s="28"/>
      <c r="CA280" s="28"/>
      <c r="CB280" s="28"/>
      <c r="CC280" s="28"/>
      <c r="CD280" s="28"/>
      <c r="CE280" s="28"/>
      <c r="CF280" s="28"/>
      <c r="CG280" s="28"/>
      <c r="CH280" s="28"/>
      <c r="CI280" s="28"/>
      <c r="CJ280" s="28"/>
      <c r="CK280" s="28"/>
      <c r="CL280" s="28"/>
      <c r="CM280" s="28"/>
      <c r="CN280" s="28"/>
      <c r="CO280" s="28"/>
      <c r="CP280" s="28"/>
      <c r="CQ280" s="28"/>
      <c r="CR280" s="28"/>
      <c r="CS280" s="28"/>
      <c r="CT280" s="28"/>
      <c r="CU280" s="28"/>
      <c r="CV280" s="28"/>
      <c r="CW280" s="28"/>
      <c r="CX280" s="28"/>
      <c r="CY280" s="28"/>
      <c r="CZ280" s="28"/>
      <c r="DA280" s="28"/>
      <c r="DB280" s="28"/>
      <c r="DC280" s="28"/>
      <c r="DD280" s="28"/>
      <c r="DE280" s="28"/>
      <c r="DF280" s="28"/>
      <c r="DG280" s="28"/>
      <c r="DH280" s="28"/>
      <c r="DI280" s="28"/>
      <c r="DJ280" s="28"/>
      <c r="DK280" s="29"/>
      <c r="DL280" s="29"/>
      <c r="DM280" s="29"/>
      <c r="DN280" s="29"/>
      <c r="DO280" s="29"/>
      <c r="DP280" s="29"/>
      <c r="DQ280" s="29"/>
      <c r="DR280" s="29"/>
      <c r="DS280" s="22"/>
      <c r="DT280" s="22"/>
      <c r="DU280" s="22"/>
      <c r="DV280" s="22"/>
    </row>
    <row r="281" spans="61:126" x14ac:dyDescent="0.25">
      <c r="BI281" s="22"/>
      <c r="BJ281" s="22"/>
      <c r="BK281" s="22"/>
      <c r="BL281" s="22"/>
      <c r="BM281" s="66"/>
      <c r="BN281" s="66"/>
      <c r="BO281" s="23"/>
      <c r="BP281" s="23"/>
      <c r="BQ281" s="23"/>
      <c r="BR281" s="24"/>
      <c r="BS281" s="24"/>
      <c r="BT281" s="68"/>
      <c r="BU281" s="68"/>
      <c r="BV281" s="25"/>
      <c r="BW281" s="26"/>
      <c r="BX281" s="27"/>
      <c r="BY281" s="28"/>
      <c r="BZ281" s="28"/>
      <c r="CA281" s="28"/>
      <c r="CB281" s="28"/>
      <c r="CC281" s="28"/>
      <c r="CD281" s="28"/>
      <c r="CE281" s="28"/>
      <c r="CF281" s="28"/>
      <c r="CG281" s="28"/>
      <c r="CH281" s="28"/>
      <c r="CI281" s="28"/>
      <c r="CJ281" s="28"/>
      <c r="CK281" s="28"/>
      <c r="CL281" s="28"/>
      <c r="CM281" s="28"/>
      <c r="CN281" s="28"/>
      <c r="CO281" s="28"/>
      <c r="CP281" s="28"/>
      <c r="CQ281" s="28"/>
      <c r="CR281" s="28"/>
      <c r="CS281" s="28"/>
      <c r="CT281" s="28"/>
      <c r="CU281" s="28"/>
      <c r="CV281" s="28"/>
      <c r="CW281" s="28"/>
      <c r="CX281" s="28"/>
      <c r="CY281" s="28"/>
      <c r="CZ281" s="28"/>
      <c r="DA281" s="28"/>
      <c r="DB281" s="28"/>
      <c r="DC281" s="28"/>
      <c r="DD281" s="28"/>
      <c r="DE281" s="28"/>
      <c r="DF281" s="28"/>
      <c r="DG281" s="28"/>
      <c r="DH281" s="28"/>
      <c r="DI281" s="28"/>
      <c r="DJ281" s="28"/>
      <c r="DK281" s="29"/>
      <c r="DL281" s="29"/>
      <c r="DM281" s="29"/>
      <c r="DN281" s="29"/>
      <c r="DO281" s="29"/>
      <c r="DP281" s="29"/>
      <c r="DQ281" s="29"/>
      <c r="DR281" s="29"/>
      <c r="DS281" s="22"/>
      <c r="DT281" s="22"/>
      <c r="DU281" s="22"/>
      <c r="DV281" s="22"/>
    </row>
    <row r="282" spans="61:126" x14ac:dyDescent="0.25">
      <c r="BI282" s="22"/>
      <c r="BJ282" s="22"/>
      <c r="BK282" s="22"/>
      <c r="BL282" s="22"/>
      <c r="BM282" s="66"/>
      <c r="BN282" s="66"/>
      <c r="BO282" s="23"/>
      <c r="BP282" s="23"/>
      <c r="BQ282" s="23"/>
      <c r="BR282" s="24"/>
      <c r="BS282" s="24"/>
      <c r="BT282" s="68"/>
      <c r="BU282" s="68"/>
      <c r="BV282" s="25"/>
      <c r="BW282" s="26"/>
      <c r="BX282" s="27"/>
      <c r="BY282" s="28"/>
      <c r="BZ282" s="28"/>
      <c r="CA282" s="28"/>
      <c r="CB282" s="28"/>
      <c r="CC282" s="28"/>
      <c r="CD282" s="28"/>
      <c r="CE282" s="28"/>
      <c r="CF282" s="28"/>
      <c r="CG282" s="28"/>
      <c r="CH282" s="28"/>
      <c r="CI282" s="28"/>
      <c r="CJ282" s="28"/>
      <c r="CK282" s="28"/>
      <c r="CL282" s="28"/>
      <c r="CM282" s="28"/>
      <c r="CN282" s="28"/>
      <c r="CO282" s="28"/>
      <c r="CP282" s="28"/>
      <c r="CQ282" s="28"/>
      <c r="CR282" s="28"/>
      <c r="CS282" s="28"/>
      <c r="CT282" s="28"/>
      <c r="CU282" s="28"/>
      <c r="CV282" s="28"/>
      <c r="CW282" s="28"/>
      <c r="CX282" s="28"/>
      <c r="CY282" s="28"/>
      <c r="CZ282" s="28"/>
      <c r="DA282" s="28"/>
      <c r="DB282" s="28"/>
      <c r="DC282" s="28"/>
      <c r="DD282" s="28"/>
      <c r="DE282" s="28"/>
      <c r="DF282" s="28"/>
      <c r="DG282" s="28"/>
      <c r="DH282" s="28"/>
      <c r="DI282" s="28"/>
      <c r="DJ282" s="28"/>
      <c r="DK282" s="29"/>
      <c r="DL282" s="29"/>
      <c r="DM282" s="29"/>
      <c r="DN282" s="29"/>
      <c r="DO282" s="29"/>
      <c r="DP282" s="29"/>
      <c r="DQ282" s="29"/>
      <c r="DR282" s="29"/>
      <c r="DS282" s="22"/>
      <c r="DT282" s="22"/>
      <c r="DU282" s="22"/>
      <c r="DV282" s="22"/>
    </row>
    <row r="283" spans="61:126" x14ac:dyDescent="0.25">
      <c r="BI283" s="22"/>
      <c r="BJ283" s="22"/>
      <c r="BK283" s="22"/>
      <c r="BL283" s="22"/>
      <c r="BM283" s="66"/>
      <c r="BN283" s="66"/>
      <c r="BO283" s="23"/>
      <c r="BP283" s="23"/>
      <c r="BQ283" s="23"/>
      <c r="BR283" s="24"/>
      <c r="BS283" s="24"/>
      <c r="BT283" s="68"/>
      <c r="BU283" s="68"/>
      <c r="BV283" s="25"/>
      <c r="BW283" s="26"/>
      <c r="BX283" s="27"/>
      <c r="BY283" s="28"/>
      <c r="BZ283" s="28"/>
      <c r="CA283" s="28"/>
      <c r="CB283" s="28"/>
      <c r="CC283" s="28"/>
      <c r="CD283" s="28"/>
      <c r="CE283" s="28"/>
      <c r="CF283" s="28"/>
      <c r="CG283" s="28"/>
      <c r="CH283" s="28"/>
      <c r="CI283" s="28"/>
      <c r="CJ283" s="28"/>
      <c r="CK283" s="28"/>
      <c r="CL283" s="28"/>
      <c r="CM283" s="28"/>
      <c r="CN283" s="28"/>
      <c r="CO283" s="28"/>
      <c r="CP283" s="28"/>
      <c r="CQ283" s="28"/>
      <c r="CR283" s="28"/>
      <c r="CS283" s="28"/>
      <c r="CT283" s="28"/>
      <c r="CU283" s="28"/>
      <c r="CV283" s="28"/>
      <c r="CW283" s="28"/>
      <c r="CX283" s="28"/>
      <c r="CY283" s="28"/>
      <c r="CZ283" s="28"/>
      <c r="DA283" s="28"/>
      <c r="DB283" s="28"/>
      <c r="DC283" s="28"/>
      <c r="DD283" s="28"/>
      <c r="DE283" s="28"/>
      <c r="DF283" s="28"/>
      <c r="DG283" s="28"/>
      <c r="DH283" s="28"/>
      <c r="DI283" s="28"/>
      <c r="DJ283" s="28"/>
      <c r="DK283" s="29"/>
      <c r="DL283" s="29"/>
      <c r="DM283" s="29"/>
      <c r="DN283" s="29"/>
      <c r="DO283" s="29"/>
      <c r="DP283" s="29"/>
      <c r="DQ283" s="29"/>
      <c r="DR283" s="29"/>
      <c r="DS283" s="22"/>
      <c r="DT283" s="22"/>
      <c r="DU283" s="22"/>
      <c r="DV283" s="22"/>
    </row>
    <row r="284" spans="61:126" x14ac:dyDescent="0.25">
      <c r="BI284" s="22"/>
      <c r="BJ284" s="22"/>
      <c r="BK284" s="22"/>
      <c r="BL284" s="22"/>
      <c r="BM284" s="66"/>
      <c r="BN284" s="66"/>
      <c r="BO284" s="23"/>
      <c r="BP284" s="23"/>
      <c r="BQ284" s="23"/>
      <c r="BR284" s="24"/>
      <c r="BS284" s="24"/>
      <c r="BT284" s="68"/>
      <c r="BU284" s="68"/>
      <c r="BV284" s="25"/>
      <c r="BW284" s="26"/>
      <c r="BX284" s="27"/>
      <c r="BY284" s="28"/>
      <c r="BZ284" s="28"/>
      <c r="CA284" s="28"/>
      <c r="CB284" s="28"/>
      <c r="CC284" s="28"/>
      <c r="CD284" s="28"/>
      <c r="CE284" s="28"/>
      <c r="CF284" s="28"/>
      <c r="CG284" s="28"/>
      <c r="CH284" s="28"/>
      <c r="CI284" s="28"/>
      <c r="CJ284" s="28"/>
      <c r="CK284" s="28"/>
      <c r="CL284" s="28"/>
      <c r="CM284" s="28"/>
      <c r="CN284" s="28"/>
      <c r="CO284" s="28"/>
      <c r="CP284" s="28"/>
      <c r="CQ284" s="28"/>
      <c r="CR284" s="28"/>
      <c r="CS284" s="28"/>
      <c r="CT284" s="28"/>
      <c r="CU284" s="28"/>
      <c r="CV284" s="28"/>
      <c r="CW284" s="28"/>
      <c r="CX284" s="28"/>
      <c r="CY284" s="28"/>
      <c r="CZ284" s="28"/>
      <c r="DA284" s="28"/>
      <c r="DB284" s="28"/>
      <c r="DC284" s="28"/>
      <c r="DD284" s="28"/>
      <c r="DE284" s="28"/>
      <c r="DF284" s="28"/>
      <c r="DG284" s="28"/>
      <c r="DH284" s="28"/>
      <c r="DI284" s="28"/>
      <c r="DJ284" s="28"/>
      <c r="DK284" s="29"/>
      <c r="DL284" s="29"/>
      <c r="DM284" s="29"/>
      <c r="DN284" s="29"/>
      <c r="DO284" s="29"/>
      <c r="DP284" s="29"/>
      <c r="DQ284" s="29"/>
      <c r="DR284" s="29"/>
      <c r="DS284" s="22"/>
      <c r="DT284" s="22"/>
      <c r="DU284" s="22"/>
      <c r="DV284" s="22"/>
    </row>
    <row r="285" spans="61:126" x14ac:dyDescent="0.25">
      <c r="BI285" s="22"/>
      <c r="BJ285" s="22"/>
      <c r="BK285" s="22"/>
      <c r="BL285" s="22"/>
      <c r="BM285" s="66"/>
      <c r="BN285" s="66"/>
      <c r="BO285" s="23"/>
      <c r="BP285" s="23"/>
      <c r="BQ285" s="23"/>
      <c r="BR285" s="24"/>
      <c r="BS285" s="24"/>
      <c r="BT285" s="68"/>
      <c r="BU285" s="68"/>
      <c r="BV285" s="25"/>
      <c r="BW285" s="26"/>
      <c r="BX285" s="27"/>
      <c r="BY285" s="28"/>
      <c r="BZ285" s="28"/>
      <c r="CA285" s="28"/>
      <c r="CB285" s="28"/>
      <c r="CC285" s="28"/>
      <c r="CD285" s="28"/>
      <c r="CE285" s="28"/>
      <c r="CF285" s="28"/>
      <c r="CG285" s="28"/>
      <c r="CH285" s="28"/>
      <c r="CI285" s="28"/>
      <c r="CJ285" s="28"/>
      <c r="CK285" s="28"/>
      <c r="CL285" s="28"/>
      <c r="CM285" s="28"/>
      <c r="CN285" s="28"/>
      <c r="CO285" s="28"/>
      <c r="CP285" s="28"/>
      <c r="CQ285" s="28"/>
      <c r="CR285" s="28"/>
      <c r="CS285" s="28"/>
      <c r="CT285" s="28"/>
      <c r="CU285" s="28"/>
      <c r="CV285" s="28"/>
      <c r="CW285" s="28"/>
      <c r="CX285" s="28"/>
      <c r="CY285" s="28"/>
      <c r="CZ285" s="28"/>
      <c r="DA285" s="28"/>
      <c r="DB285" s="28"/>
      <c r="DC285" s="28"/>
      <c r="DD285" s="28"/>
      <c r="DE285" s="28"/>
      <c r="DF285" s="28"/>
      <c r="DG285" s="28"/>
      <c r="DH285" s="28"/>
      <c r="DI285" s="28"/>
      <c r="DJ285" s="28"/>
      <c r="DK285" s="29"/>
      <c r="DL285" s="29"/>
      <c r="DM285" s="29"/>
      <c r="DN285" s="29"/>
      <c r="DO285" s="29"/>
      <c r="DP285" s="29"/>
      <c r="DQ285" s="29"/>
      <c r="DR285" s="29"/>
      <c r="DS285" s="22"/>
      <c r="DT285" s="22"/>
      <c r="DU285" s="22"/>
      <c r="DV285" s="22"/>
    </row>
    <row r="286" spans="61:126" x14ac:dyDescent="0.25">
      <c r="BI286" s="22"/>
      <c r="BJ286" s="22"/>
      <c r="BK286" s="22"/>
      <c r="BL286" s="22"/>
      <c r="BM286" s="66"/>
      <c r="BN286" s="66"/>
      <c r="BO286" s="23"/>
      <c r="BP286" s="23"/>
      <c r="BQ286" s="23"/>
      <c r="BR286" s="24"/>
      <c r="BS286" s="24"/>
      <c r="BT286" s="68"/>
      <c r="BU286" s="68"/>
      <c r="BV286" s="25"/>
      <c r="BW286" s="26"/>
      <c r="BX286" s="27"/>
      <c r="BY286" s="28"/>
      <c r="BZ286" s="28"/>
      <c r="CA286" s="28"/>
      <c r="CB286" s="28"/>
      <c r="CC286" s="28"/>
      <c r="CD286" s="28"/>
      <c r="CE286" s="28"/>
      <c r="CF286" s="28"/>
      <c r="CG286" s="28"/>
      <c r="CH286" s="28"/>
      <c r="CI286" s="28"/>
      <c r="CJ286" s="28"/>
      <c r="CK286" s="28"/>
      <c r="CL286" s="28"/>
      <c r="CM286" s="28"/>
      <c r="CN286" s="28"/>
      <c r="CO286" s="28"/>
      <c r="CP286" s="28"/>
      <c r="CQ286" s="28"/>
      <c r="CR286" s="28"/>
      <c r="CS286" s="28"/>
      <c r="CT286" s="28"/>
      <c r="CU286" s="28"/>
      <c r="CV286" s="28"/>
      <c r="CW286" s="28"/>
      <c r="CX286" s="28"/>
      <c r="CY286" s="28"/>
      <c r="CZ286" s="28"/>
      <c r="DA286" s="28"/>
      <c r="DB286" s="28"/>
      <c r="DC286" s="28"/>
      <c r="DD286" s="28"/>
      <c r="DE286" s="28"/>
      <c r="DF286" s="28"/>
      <c r="DG286" s="28"/>
      <c r="DH286" s="28"/>
      <c r="DI286" s="28"/>
      <c r="DJ286" s="28"/>
      <c r="DK286" s="29"/>
      <c r="DL286" s="29"/>
      <c r="DM286" s="29"/>
      <c r="DN286" s="29"/>
      <c r="DO286" s="29"/>
      <c r="DP286" s="29"/>
      <c r="DQ286" s="29"/>
      <c r="DR286" s="29"/>
      <c r="DS286" s="22"/>
      <c r="DT286" s="22"/>
      <c r="DU286" s="22"/>
      <c r="DV286" s="22"/>
    </row>
    <row r="287" spans="61:126" x14ac:dyDescent="0.25">
      <c r="BI287" s="22"/>
      <c r="BJ287" s="22"/>
      <c r="BK287" s="22"/>
      <c r="BL287" s="22"/>
      <c r="BM287" s="66"/>
      <c r="BN287" s="66"/>
      <c r="BO287" s="23"/>
      <c r="BP287" s="23"/>
      <c r="BQ287" s="23"/>
      <c r="BR287" s="24"/>
      <c r="BS287" s="24"/>
      <c r="BT287" s="68"/>
      <c r="BU287" s="68"/>
      <c r="BV287" s="25"/>
      <c r="BW287" s="26"/>
      <c r="BX287" s="27"/>
      <c r="BY287" s="28"/>
      <c r="BZ287" s="28"/>
      <c r="CA287" s="28"/>
      <c r="CB287" s="28"/>
      <c r="CC287" s="28"/>
      <c r="CD287" s="28"/>
      <c r="CE287" s="28"/>
      <c r="CF287" s="28"/>
      <c r="CG287" s="28"/>
      <c r="CH287" s="28"/>
      <c r="CI287" s="28"/>
      <c r="CJ287" s="28"/>
      <c r="CK287" s="28"/>
      <c r="CL287" s="28"/>
      <c r="CM287" s="28"/>
      <c r="CN287" s="28"/>
      <c r="CO287" s="28"/>
      <c r="CP287" s="28"/>
      <c r="CQ287" s="28"/>
      <c r="CR287" s="28"/>
      <c r="CS287" s="28"/>
      <c r="CT287" s="28"/>
      <c r="CU287" s="28"/>
      <c r="CV287" s="28"/>
      <c r="CW287" s="28"/>
      <c r="CX287" s="28"/>
      <c r="CY287" s="28"/>
      <c r="CZ287" s="28"/>
      <c r="DA287" s="28"/>
      <c r="DB287" s="28"/>
      <c r="DC287" s="28"/>
      <c r="DD287" s="28"/>
      <c r="DE287" s="28"/>
      <c r="DF287" s="28"/>
      <c r="DG287" s="28"/>
      <c r="DH287" s="28"/>
      <c r="DI287" s="28"/>
      <c r="DJ287" s="28"/>
      <c r="DK287" s="29"/>
      <c r="DL287" s="29"/>
      <c r="DM287" s="29"/>
      <c r="DN287" s="29"/>
      <c r="DO287" s="29"/>
      <c r="DP287" s="29"/>
      <c r="DQ287" s="29"/>
      <c r="DR287" s="29"/>
      <c r="DS287" s="22"/>
      <c r="DT287" s="22"/>
      <c r="DU287" s="22"/>
      <c r="DV287" s="22"/>
    </row>
    <row r="288" spans="61:126" x14ac:dyDescent="0.25">
      <c r="BI288" s="22"/>
      <c r="BJ288" s="22"/>
      <c r="BK288" s="22"/>
      <c r="BL288" s="22"/>
      <c r="BM288" s="66"/>
      <c r="BN288" s="66"/>
      <c r="BO288" s="23"/>
      <c r="BP288" s="23"/>
      <c r="BQ288" s="23"/>
      <c r="BR288" s="24"/>
      <c r="BS288" s="24"/>
      <c r="BT288" s="68"/>
      <c r="BU288" s="68"/>
      <c r="BV288" s="25"/>
      <c r="BW288" s="26"/>
      <c r="BX288" s="27"/>
      <c r="BY288" s="28"/>
      <c r="BZ288" s="28"/>
      <c r="CA288" s="28"/>
      <c r="CB288" s="28"/>
      <c r="CC288" s="28"/>
      <c r="CD288" s="28"/>
      <c r="CE288" s="28"/>
      <c r="CF288" s="28"/>
      <c r="CG288" s="28"/>
      <c r="CH288" s="28"/>
      <c r="CI288" s="28"/>
      <c r="CJ288" s="28"/>
      <c r="CK288" s="28"/>
      <c r="CL288" s="28"/>
      <c r="CM288" s="28"/>
      <c r="CN288" s="28"/>
      <c r="CO288" s="28"/>
      <c r="CP288" s="28"/>
      <c r="CQ288" s="28"/>
      <c r="CR288" s="28"/>
      <c r="CS288" s="28"/>
      <c r="CT288" s="28"/>
      <c r="CU288" s="28"/>
      <c r="CV288" s="28"/>
      <c r="CW288" s="28"/>
      <c r="CX288" s="28"/>
      <c r="CY288" s="28"/>
      <c r="CZ288" s="28"/>
      <c r="DA288" s="28"/>
      <c r="DB288" s="28"/>
      <c r="DC288" s="28"/>
      <c r="DD288" s="28"/>
      <c r="DE288" s="28"/>
      <c r="DF288" s="28"/>
      <c r="DG288" s="28"/>
      <c r="DH288" s="28"/>
      <c r="DI288" s="28"/>
      <c r="DJ288" s="28"/>
      <c r="DK288" s="29"/>
      <c r="DL288" s="29"/>
      <c r="DM288" s="29"/>
      <c r="DN288" s="29"/>
      <c r="DO288" s="29"/>
      <c r="DP288" s="29"/>
      <c r="DQ288" s="29"/>
      <c r="DR288" s="29"/>
      <c r="DS288" s="22"/>
      <c r="DT288" s="22"/>
      <c r="DU288" s="22"/>
      <c r="DV288" s="22"/>
    </row>
    <row r="289" spans="61:126" x14ac:dyDescent="0.25">
      <c r="BI289" s="22"/>
      <c r="BJ289" s="22"/>
      <c r="BK289" s="22"/>
      <c r="BL289" s="22"/>
      <c r="BM289" s="66"/>
      <c r="BN289" s="66"/>
      <c r="BO289" s="23"/>
      <c r="BP289" s="23"/>
      <c r="BQ289" s="23"/>
      <c r="BR289" s="24"/>
      <c r="BS289" s="24"/>
      <c r="BT289" s="68"/>
      <c r="BU289" s="68"/>
      <c r="BV289" s="25"/>
      <c r="BW289" s="26"/>
      <c r="BX289" s="27"/>
      <c r="BY289" s="28"/>
      <c r="BZ289" s="28"/>
      <c r="CA289" s="28"/>
      <c r="CB289" s="28"/>
      <c r="CC289" s="28"/>
      <c r="CD289" s="28"/>
      <c r="CE289" s="28"/>
      <c r="CF289" s="28"/>
      <c r="CG289" s="28"/>
      <c r="CH289" s="28"/>
      <c r="CI289" s="28"/>
      <c r="CJ289" s="28"/>
      <c r="CK289" s="28"/>
      <c r="CL289" s="28"/>
      <c r="CM289" s="28"/>
      <c r="CN289" s="28"/>
      <c r="CO289" s="28"/>
      <c r="CP289" s="28"/>
      <c r="CQ289" s="28"/>
      <c r="CR289" s="28"/>
      <c r="CS289" s="28"/>
      <c r="CT289" s="28"/>
      <c r="CU289" s="28"/>
      <c r="CV289" s="28"/>
      <c r="CW289" s="28"/>
      <c r="CX289" s="28"/>
      <c r="CY289" s="28"/>
      <c r="CZ289" s="28"/>
      <c r="DA289" s="28"/>
      <c r="DB289" s="28"/>
      <c r="DC289" s="28"/>
      <c r="DD289" s="28"/>
      <c r="DE289" s="28"/>
      <c r="DF289" s="28"/>
      <c r="DG289" s="28"/>
      <c r="DH289" s="28"/>
      <c r="DI289" s="28"/>
      <c r="DJ289" s="28"/>
      <c r="DK289" s="29"/>
      <c r="DL289" s="29"/>
      <c r="DM289" s="29"/>
      <c r="DN289" s="29"/>
      <c r="DO289" s="29"/>
      <c r="DP289" s="29"/>
      <c r="DQ289" s="29"/>
      <c r="DR289" s="29"/>
      <c r="DS289" s="22"/>
      <c r="DT289" s="22"/>
      <c r="DU289" s="22"/>
      <c r="DV289" s="22"/>
    </row>
    <row r="290" spans="61:126" x14ac:dyDescent="0.25">
      <c r="BI290" s="22"/>
      <c r="BJ290" s="22"/>
      <c r="BK290" s="22"/>
      <c r="BL290" s="22"/>
      <c r="BM290" s="66"/>
      <c r="BN290" s="66"/>
      <c r="BO290" s="23"/>
      <c r="BP290" s="23"/>
      <c r="BQ290" s="23"/>
      <c r="BR290" s="24"/>
      <c r="BS290" s="24"/>
      <c r="BT290" s="68"/>
      <c r="BU290" s="68"/>
      <c r="BV290" s="25"/>
      <c r="BW290" s="26"/>
      <c r="BX290" s="27"/>
      <c r="BY290" s="28"/>
      <c r="BZ290" s="28"/>
      <c r="CA290" s="28"/>
      <c r="CB290" s="28"/>
      <c r="CC290" s="28"/>
      <c r="CD290" s="28"/>
      <c r="CE290" s="28"/>
      <c r="CF290" s="28"/>
      <c r="CG290" s="28"/>
      <c r="CH290" s="28"/>
      <c r="CI290" s="28"/>
      <c r="CJ290" s="28"/>
      <c r="CK290" s="28"/>
      <c r="CL290" s="28"/>
      <c r="CM290" s="28"/>
      <c r="CN290" s="28"/>
      <c r="CO290" s="28"/>
      <c r="CP290" s="28"/>
      <c r="CQ290" s="28"/>
      <c r="CR290" s="28"/>
      <c r="CS290" s="28"/>
      <c r="CT290" s="28"/>
      <c r="CU290" s="28"/>
      <c r="CV290" s="28"/>
      <c r="CW290" s="28"/>
      <c r="CX290" s="28"/>
      <c r="CY290" s="28"/>
      <c r="CZ290" s="28"/>
      <c r="DA290" s="28"/>
      <c r="DB290" s="28"/>
      <c r="DC290" s="28"/>
      <c r="DD290" s="28"/>
      <c r="DE290" s="28"/>
      <c r="DF290" s="28"/>
      <c r="DG290" s="28"/>
      <c r="DH290" s="28"/>
      <c r="DI290" s="28"/>
      <c r="DJ290" s="28"/>
      <c r="DK290" s="29"/>
      <c r="DL290" s="29"/>
      <c r="DM290" s="29"/>
      <c r="DN290" s="29"/>
      <c r="DO290" s="29"/>
      <c r="DP290" s="29"/>
      <c r="DQ290" s="29"/>
      <c r="DR290" s="29"/>
      <c r="DS290" s="22"/>
      <c r="DT290" s="22"/>
      <c r="DU290" s="22"/>
      <c r="DV290" s="22"/>
    </row>
    <row r="291" spans="61:126" x14ac:dyDescent="0.25">
      <c r="BI291" s="22"/>
      <c r="BJ291" s="22"/>
      <c r="BK291" s="22"/>
      <c r="BL291" s="22"/>
      <c r="BM291" s="66"/>
      <c r="BN291" s="66"/>
      <c r="BO291" s="23"/>
      <c r="BP291" s="23"/>
      <c r="BQ291" s="23"/>
      <c r="BR291" s="24"/>
      <c r="BS291" s="24"/>
      <c r="BT291" s="68"/>
      <c r="BU291" s="68"/>
      <c r="BV291" s="25"/>
      <c r="BW291" s="26"/>
      <c r="BX291" s="27"/>
      <c r="BY291" s="28"/>
      <c r="BZ291" s="28"/>
      <c r="CA291" s="28"/>
      <c r="CB291" s="28"/>
      <c r="CC291" s="28"/>
      <c r="CD291" s="28"/>
      <c r="CE291" s="28"/>
      <c r="CF291" s="28"/>
      <c r="CG291" s="28"/>
      <c r="CH291" s="28"/>
      <c r="CI291" s="28"/>
      <c r="CJ291" s="28"/>
      <c r="CK291" s="28"/>
      <c r="CL291" s="28"/>
      <c r="CM291" s="28"/>
      <c r="CN291" s="28"/>
      <c r="CO291" s="28"/>
      <c r="CP291" s="28"/>
      <c r="CQ291" s="28"/>
      <c r="CR291" s="28"/>
      <c r="CS291" s="28"/>
      <c r="CT291" s="28"/>
      <c r="CU291" s="28"/>
      <c r="CV291" s="28"/>
      <c r="CW291" s="28"/>
      <c r="CX291" s="28"/>
      <c r="CY291" s="28"/>
      <c r="CZ291" s="28"/>
      <c r="DA291" s="28"/>
      <c r="DB291" s="28"/>
      <c r="DC291" s="28"/>
      <c r="DD291" s="28"/>
      <c r="DE291" s="28"/>
      <c r="DF291" s="28"/>
      <c r="DG291" s="28"/>
      <c r="DH291" s="28"/>
      <c r="DI291" s="28"/>
      <c r="DJ291" s="28"/>
      <c r="DK291" s="29"/>
      <c r="DL291" s="29"/>
      <c r="DM291" s="29"/>
      <c r="DN291" s="29"/>
      <c r="DO291" s="29"/>
      <c r="DP291" s="29"/>
      <c r="DQ291" s="29"/>
      <c r="DR291" s="29"/>
      <c r="DS291" s="22"/>
      <c r="DT291" s="22"/>
      <c r="DU291" s="22"/>
      <c r="DV291" s="22"/>
    </row>
    <row r="292" spans="61:126" x14ac:dyDescent="0.25">
      <c r="BI292" s="22"/>
      <c r="BJ292" s="22"/>
      <c r="BK292" s="22"/>
      <c r="BL292" s="22"/>
      <c r="BM292" s="66"/>
      <c r="BN292" s="66"/>
      <c r="BO292" s="23"/>
      <c r="BP292" s="23"/>
      <c r="BQ292" s="23"/>
      <c r="BR292" s="24"/>
      <c r="BS292" s="24"/>
      <c r="BT292" s="68"/>
      <c r="BU292" s="68"/>
      <c r="BV292" s="25"/>
      <c r="BW292" s="26"/>
      <c r="BX292" s="27"/>
      <c r="BY292" s="28"/>
      <c r="BZ292" s="28"/>
      <c r="CA292" s="28"/>
      <c r="CB292" s="28"/>
      <c r="CC292" s="28"/>
      <c r="CD292" s="28"/>
      <c r="CE292" s="28"/>
      <c r="CF292" s="28"/>
      <c r="CG292" s="28"/>
      <c r="CH292" s="28"/>
      <c r="CI292" s="28"/>
      <c r="CJ292" s="28"/>
      <c r="CK292" s="28"/>
      <c r="CL292" s="28"/>
      <c r="CM292" s="28"/>
      <c r="CN292" s="28"/>
      <c r="CO292" s="28"/>
      <c r="CP292" s="28"/>
      <c r="CQ292" s="28"/>
      <c r="CR292" s="28"/>
      <c r="CS292" s="28"/>
      <c r="CT292" s="28"/>
      <c r="CU292" s="28"/>
      <c r="CV292" s="28"/>
      <c r="CW292" s="28"/>
      <c r="CX292" s="28"/>
      <c r="CY292" s="28"/>
      <c r="CZ292" s="28"/>
      <c r="DA292" s="28"/>
      <c r="DB292" s="28"/>
      <c r="DC292" s="28"/>
      <c r="DD292" s="28"/>
      <c r="DE292" s="28"/>
      <c r="DF292" s="28"/>
      <c r="DG292" s="28"/>
      <c r="DH292" s="28"/>
      <c r="DI292" s="28"/>
      <c r="DJ292" s="28"/>
      <c r="DK292" s="29"/>
      <c r="DL292" s="29"/>
      <c r="DM292" s="29"/>
      <c r="DN292" s="29"/>
      <c r="DO292" s="29"/>
      <c r="DP292" s="29"/>
      <c r="DQ292" s="29"/>
      <c r="DR292" s="29"/>
      <c r="DS292" s="22"/>
      <c r="DT292" s="22"/>
      <c r="DU292" s="22"/>
      <c r="DV292" s="22"/>
    </row>
    <row r="293" spans="61:126" x14ac:dyDescent="0.25">
      <c r="BI293" s="22"/>
      <c r="BJ293" s="22"/>
      <c r="BK293" s="22"/>
      <c r="BL293" s="22"/>
      <c r="BM293" s="66"/>
      <c r="BN293" s="66"/>
      <c r="BO293" s="23"/>
      <c r="BP293" s="23"/>
      <c r="BQ293" s="23"/>
      <c r="BR293" s="24"/>
      <c r="BS293" s="24"/>
      <c r="BT293" s="68"/>
      <c r="BU293" s="68"/>
      <c r="BV293" s="25"/>
      <c r="BW293" s="26"/>
      <c r="BX293" s="27"/>
      <c r="BY293" s="28"/>
      <c r="BZ293" s="28"/>
      <c r="CA293" s="28"/>
      <c r="CB293" s="28"/>
      <c r="CC293" s="28"/>
      <c r="CD293" s="28"/>
      <c r="CE293" s="28"/>
      <c r="CF293" s="28"/>
      <c r="CG293" s="28"/>
      <c r="CH293" s="28"/>
      <c r="CI293" s="28"/>
      <c r="CJ293" s="28"/>
      <c r="CK293" s="28"/>
      <c r="CL293" s="28"/>
      <c r="CM293" s="28"/>
      <c r="CN293" s="28"/>
      <c r="CO293" s="28"/>
      <c r="CP293" s="28"/>
      <c r="CQ293" s="28"/>
      <c r="CR293" s="28"/>
      <c r="CS293" s="28"/>
      <c r="CT293" s="28"/>
      <c r="CU293" s="28"/>
      <c r="CV293" s="28"/>
      <c r="CW293" s="28"/>
      <c r="CX293" s="28"/>
      <c r="CY293" s="28"/>
      <c r="CZ293" s="28"/>
      <c r="DA293" s="28"/>
      <c r="DB293" s="28"/>
      <c r="DC293" s="28"/>
      <c r="DD293" s="28"/>
      <c r="DE293" s="28"/>
      <c r="DF293" s="28"/>
      <c r="DG293" s="28"/>
      <c r="DH293" s="28"/>
      <c r="DI293" s="28"/>
      <c r="DJ293" s="28"/>
      <c r="DK293" s="29"/>
      <c r="DL293" s="29"/>
      <c r="DM293" s="29"/>
      <c r="DN293" s="29"/>
      <c r="DO293" s="29"/>
      <c r="DP293" s="29"/>
      <c r="DQ293" s="29"/>
      <c r="DR293" s="29"/>
      <c r="DS293" s="22"/>
      <c r="DT293" s="22"/>
      <c r="DU293" s="22"/>
      <c r="DV293" s="22"/>
    </row>
    <row r="294" spans="61:126" x14ac:dyDescent="0.25">
      <c r="BI294" s="22"/>
      <c r="BJ294" s="22"/>
      <c r="BK294" s="22"/>
      <c r="BL294" s="22"/>
      <c r="BM294" s="66"/>
      <c r="BN294" s="66"/>
      <c r="BO294" s="23"/>
      <c r="BP294" s="23"/>
      <c r="BQ294" s="23"/>
      <c r="BR294" s="24"/>
      <c r="BS294" s="24"/>
      <c r="BT294" s="68"/>
      <c r="BU294" s="68"/>
      <c r="BV294" s="25"/>
      <c r="BW294" s="26"/>
      <c r="BX294" s="27"/>
      <c r="BY294" s="28"/>
      <c r="BZ294" s="28"/>
      <c r="CA294" s="28"/>
      <c r="CB294" s="28"/>
      <c r="CC294" s="28"/>
      <c r="CD294" s="28"/>
      <c r="CE294" s="28"/>
      <c r="CF294" s="28"/>
      <c r="CG294" s="28"/>
      <c r="CH294" s="28"/>
      <c r="CI294" s="28"/>
      <c r="CJ294" s="28"/>
      <c r="CK294" s="28"/>
      <c r="CL294" s="28"/>
      <c r="CM294" s="28"/>
      <c r="CN294" s="28"/>
      <c r="CO294" s="28"/>
      <c r="CP294" s="28"/>
      <c r="CQ294" s="28"/>
      <c r="CR294" s="28"/>
      <c r="CS294" s="28"/>
      <c r="CT294" s="28"/>
      <c r="CU294" s="28"/>
      <c r="CV294" s="28"/>
      <c r="CW294" s="28"/>
      <c r="CX294" s="28"/>
      <c r="CY294" s="28"/>
      <c r="CZ294" s="28"/>
      <c r="DA294" s="28"/>
      <c r="DB294" s="28"/>
      <c r="DC294" s="28"/>
      <c r="DD294" s="28"/>
      <c r="DE294" s="28"/>
      <c r="DF294" s="28"/>
      <c r="DG294" s="28"/>
      <c r="DH294" s="28"/>
      <c r="DI294" s="28"/>
      <c r="DJ294" s="28"/>
      <c r="DK294" s="29"/>
      <c r="DL294" s="29"/>
      <c r="DM294" s="29"/>
      <c r="DN294" s="29"/>
      <c r="DO294" s="29"/>
      <c r="DP294" s="29"/>
      <c r="DQ294" s="29"/>
      <c r="DR294" s="29"/>
      <c r="DS294" s="22"/>
      <c r="DT294" s="22"/>
      <c r="DU294" s="22"/>
      <c r="DV294" s="22"/>
    </row>
    <row r="295" spans="61:126" x14ac:dyDescent="0.25">
      <c r="BI295" s="22"/>
      <c r="BJ295" s="22"/>
      <c r="BK295" s="22"/>
      <c r="BL295" s="22"/>
      <c r="BM295" s="66"/>
      <c r="BN295" s="66"/>
      <c r="BO295" s="23"/>
      <c r="BP295" s="23"/>
      <c r="BQ295" s="23"/>
      <c r="BR295" s="24"/>
      <c r="BS295" s="24"/>
      <c r="BT295" s="68"/>
      <c r="BU295" s="68"/>
      <c r="BV295" s="25"/>
      <c r="BW295" s="26"/>
      <c r="BX295" s="27"/>
      <c r="BY295" s="28"/>
      <c r="BZ295" s="28"/>
      <c r="CA295" s="28"/>
      <c r="CB295" s="28"/>
      <c r="CC295" s="28"/>
      <c r="CD295" s="28"/>
      <c r="CE295" s="28"/>
      <c r="CF295" s="28"/>
      <c r="CG295" s="28"/>
      <c r="CH295" s="28"/>
      <c r="CI295" s="28"/>
      <c r="CJ295" s="28"/>
      <c r="CK295" s="28"/>
      <c r="CL295" s="28"/>
      <c r="CM295" s="28"/>
      <c r="CN295" s="28"/>
      <c r="CO295" s="28"/>
      <c r="CP295" s="28"/>
      <c r="CQ295" s="28"/>
      <c r="CR295" s="28"/>
      <c r="CS295" s="28"/>
      <c r="CT295" s="28"/>
      <c r="CU295" s="28"/>
      <c r="CV295" s="28"/>
      <c r="CW295" s="28"/>
      <c r="CX295" s="28"/>
      <c r="CY295" s="28"/>
      <c r="CZ295" s="28"/>
      <c r="DA295" s="28"/>
      <c r="DB295" s="28"/>
      <c r="DC295" s="28"/>
      <c r="DD295" s="28"/>
      <c r="DE295" s="28"/>
      <c r="DF295" s="28"/>
      <c r="DG295" s="28"/>
      <c r="DH295" s="28"/>
      <c r="DI295" s="28"/>
      <c r="DJ295" s="28"/>
      <c r="DK295" s="29"/>
      <c r="DL295" s="29"/>
      <c r="DM295" s="29"/>
      <c r="DN295" s="29"/>
      <c r="DO295" s="29"/>
      <c r="DP295" s="29"/>
      <c r="DQ295" s="29"/>
      <c r="DR295" s="29"/>
      <c r="DS295" s="22"/>
      <c r="DT295" s="22"/>
      <c r="DU295" s="22"/>
      <c r="DV295" s="22"/>
    </row>
    <row r="296" spans="61:126" x14ac:dyDescent="0.25">
      <c r="BI296" s="22"/>
      <c r="BJ296" s="22"/>
      <c r="BK296" s="22"/>
      <c r="BL296" s="22"/>
      <c r="BM296" s="66"/>
      <c r="BN296" s="66"/>
      <c r="BO296" s="23"/>
      <c r="BP296" s="23"/>
      <c r="BQ296" s="23"/>
      <c r="BR296" s="24"/>
      <c r="BS296" s="24"/>
      <c r="BT296" s="68"/>
      <c r="BU296" s="68"/>
      <c r="BV296" s="25"/>
      <c r="BW296" s="26"/>
      <c r="BX296" s="27"/>
      <c r="BY296" s="28"/>
      <c r="BZ296" s="28"/>
      <c r="CA296" s="28"/>
      <c r="CB296" s="28"/>
      <c r="CC296" s="28"/>
      <c r="CD296" s="28"/>
      <c r="CE296" s="28"/>
      <c r="CF296" s="28"/>
      <c r="CG296" s="28"/>
      <c r="CH296" s="28"/>
      <c r="CI296" s="28"/>
      <c r="CJ296" s="28"/>
      <c r="CK296" s="28"/>
      <c r="CL296" s="28"/>
      <c r="CM296" s="28"/>
      <c r="CN296" s="28"/>
      <c r="CO296" s="28"/>
      <c r="CP296" s="28"/>
      <c r="CQ296" s="28"/>
      <c r="CR296" s="28"/>
      <c r="CS296" s="28"/>
      <c r="CT296" s="28"/>
      <c r="CU296" s="28"/>
      <c r="CV296" s="28"/>
      <c r="CW296" s="28"/>
      <c r="CX296" s="28"/>
      <c r="CY296" s="28"/>
      <c r="CZ296" s="28"/>
      <c r="DA296" s="28"/>
      <c r="DB296" s="28"/>
      <c r="DC296" s="28"/>
      <c r="DD296" s="28"/>
      <c r="DE296" s="28"/>
      <c r="DF296" s="28"/>
      <c r="DG296" s="28"/>
      <c r="DH296" s="28"/>
      <c r="DI296" s="28"/>
      <c r="DJ296" s="28"/>
      <c r="DK296" s="29"/>
      <c r="DL296" s="29"/>
      <c r="DM296" s="29"/>
      <c r="DN296" s="29"/>
      <c r="DO296" s="29"/>
      <c r="DP296" s="29"/>
      <c r="DQ296" s="29"/>
      <c r="DR296" s="29"/>
      <c r="DS296" s="22"/>
      <c r="DT296" s="22"/>
      <c r="DU296" s="22"/>
      <c r="DV296" s="22"/>
    </row>
    <row r="297" spans="61:126" x14ac:dyDescent="0.25">
      <c r="BI297" s="22"/>
      <c r="BJ297" s="22"/>
      <c r="BK297" s="22"/>
      <c r="BL297" s="22"/>
      <c r="BM297" s="66"/>
      <c r="BN297" s="66"/>
      <c r="BO297" s="23"/>
      <c r="BP297" s="23"/>
      <c r="BQ297" s="23"/>
      <c r="BR297" s="24"/>
      <c r="BS297" s="24"/>
      <c r="BT297" s="68"/>
      <c r="BU297" s="68"/>
      <c r="BV297" s="25"/>
      <c r="BW297" s="26"/>
      <c r="BX297" s="27"/>
      <c r="BY297" s="28"/>
      <c r="BZ297" s="28"/>
      <c r="CA297" s="28"/>
      <c r="CB297" s="28"/>
      <c r="CC297" s="28"/>
      <c r="CD297" s="28"/>
      <c r="CE297" s="28"/>
      <c r="CF297" s="28"/>
      <c r="CG297" s="28"/>
      <c r="CH297" s="28"/>
      <c r="CI297" s="28"/>
      <c r="CJ297" s="28"/>
      <c r="CK297" s="28"/>
      <c r="CL297" s="28"/>
      <c r="CM297" s="28"/>
      <c r="CN297" s="28"/>
      <c r="CO297" s="28"/>
      <c r="CP297" s="28"/>
      <c r="CQ297" s="28"/>
      <c r="CR297" s="28"/>
      <c r="CS297" s="28"/>
      <c r="CT297" s="28"/>
      <c r="CU297" s="28"/>
      <c r="CV297" s="28"/>
      <c r="CW297" s="28"/>
      <c r="CX297" s="28"/>
      <c r="CY297" s="28"/>
      <c r="CZ297" s="28"/>
      <c r="DA297" s="28"/>
      <c r="DB297" s="28"/>
      <c r="DC297" s="28"/>
      <c r="DD297" s="28"/>
      <c r="DE297" s="28"/>
      <c r="DF297" s="28"/>
      <c r="DG297" s="28"/>
      <c r="DH297" s="28"/>
      <c r="DI297" s="28"/>
      <c r="DJ297" s="28"/>
      <c r="DK297" s="29"/>
      <c r="DL297" s="29"/>
      <c r="DM297" s="29"/>
      <c r="DN297" s="29"/>
      <c r="DO297" s="29"/>
      <c r="DP297" s="29"/>
      <c r="DQ297" s="29"/>
      <c r="DR297" s="29"/>
      <c r="DS297" s="22"/>
      <c r="DT297" s="22"/>
      <c r="DU297" s="22"/>
      <c r="DV297" s="22"/>
    </row>
    <row r="298" spans="61:126" x14ac:dyDescent="0.25">
      <c r="BI298" s="22"/>
      <c r="BJ298" s="22"/>
      <c r="BK298" s="22"/>
      <c r="BL298" s="22"/>
      <c r="BM298" s="66"/>
      <c r="BN298" s="66"/>
      <c r="BO298" s="23"/>
      <c r="BP298" s="23"/>
      <c r="BQ298" s="23"/>
      <c r="BR298" s="24"/>
      <c r="BS298" s="24"/>
      <c r="BT298" s="68"/>
      <c r="BU298" s="68"/>
      <c r="BV298" s="25"/>
      <c r="BW298" s="26"/>
      <c r="BX298" s="27"/>
      <c r="BY298" s="28"/>
      <c r="BZ298" s="28"/>
      <c r="CA298" s="28"/>
      <c r="CB298" s="28"/>
      <c r="CC298" s="28"/>
      <c r="CD298" s="28"/>
      <c r="CE298" s="28"/>
      <c r="CF298" s="28"/>
      <c r="CG298" s="28"/>
      <c r="CH298" s="28"/>
      <c r="CI298" s="28"/>
      <c r="CJ298" s="28"/>
      <c r="CK298" s="28"/>
      <c r="CL298" s="28"/>
      <c r="CM298" s="28"/>
      <c r="CN298" s="28"/>
      <c r="CO298" s="28"/>
      <c r="CP298" s="28"/>
      <c r="CQ298" s="28"/>
      <c r="CR298" s="28"/>
      <c r="CS298" s="28"/>
      <c r="CT298" s="28"/>
      <c r="CU298" s="28"/>
      <c r="CV298" s="28"/>
      <c r="CW298" s="28"/>
      <c r="CX298" s="28"/>
      <c r="CY298" s="28"/>
      <c r="CZ298" s="28"/>
      <c r="DA298" s="28"/>
      <c r="DB298" s="28"/>
      <c r="DC298" s="28"/>
      <c r="DD298" s="28"/>
      <c r="DE298" s="28"/>
      <c r="DF298" s="28"/>
      <c r="DG298" s="28"/>
      <c r="DH298" s="28"/>
      <c r="DI298" s="28"/>
      <c r="DJ298" s="28"/>
      <c r="DK298" s="29"/>
      <c r="DL298" s="29"/>
      <c r="DM298" s="29"/>
      <c r="DN298" s="29"/>
      <c r="DO298" s="29"/>
      <c r="DP298" s="29"/>
      <c r="DQ298" s="29"/>
      <c r="DR298" s="29"/>
      <c r="DS298" s="22"/>
      <c r="DT298" s="22"/>
      <c r="DU298" s="22"/>
      <c r="DV298" s="22"/>
    </row>
    <row r="299" spans="61:126" x14ac:dyDescent="0.25">
      <c r="BI299" s="22"/>
      <c r="BJ299" s="22"/>
      <c r="BK299" s="22"/>
      <c r="BL299" s="22"/>
      <c r="BM299" s="66"/>
      <c r="BN299" s="66"/>
      <c r="BO299" s="23"/>
      <c r="BP299" s="23"/>
      <c r="BQ299" s="23"/>
      <c r="BR299" s="24"/>
      <c r="BS299" s="24"/>
      <c r="BT299" s="68"/>
      <c r="BU299" s="68"/>
      <c r="BV299" s="25"/>
      <c r="BW299" s="26"/>
      <c r="BX299" s="27"/>
      <c r="BY299" s="28"/>
      <c r="BZ299" s="28"/>
      <c r="CA299" s="28"/>
      <c r="CB299" s="28"/>
      <c r="CC299" s="28"/>
      <c r="CD299" s="28"/>
      <c r="CE299" s="28"/>
      <c r="CF299" s="28"/>
      <c r="CG299" s="28"/>
      <c r="CH299" s="28"/>
      <c r="CI299" s="28"/>
      <c r="CJ299" s="28"/>
      <c r="CK299" s="28"/>
      <c r="CL299" s="28"/>
      <c r="CM299" s="28"/>
      <c r="CN299" s="28"/>
      <c r="CO299" s="28"/>
      <c r="CP299" s="28"/>
      <c r="CQ299" s="28"/>
      <c r="CR299" s="28"/>
      <c r="CS299" s="28"/>
      <c r="CT299" s="28"/>
      <c r="CU299" s="28"/>
      <c r="CV299" s="28"/>
      <c r="CW299" s="28"/>
      <c r="CX299" s="28"/>
      <c r="CY299" s="28"/>
      <c r="CZ299" s="28"/>
      <c r="DA299" s="28"/>
      <c r="DB299" s="28"/>
      <c r="DC299" s="28"/>
      <c r="DD299" s="28"/>
      <c r="DE299" s="28"/>
      <c r="DF299" s="28"/>
      <c r="DG299" s="28"/>
      <c r="DH299" s="28"/>
      <c r="DI299" s="28"/>
      <c r="DJ299" s="28"/>
      <c r="DK299" s="29"/>
      <c r="DL299" s="29"/>
      <c r="DM299" s="29"/>
      <c r="DN299" s="29"/>
      <c r="DO299" s="29"/>
      <c r="DP299" s="29"/>
      <c r="DQ299" s="29"/>
      <c r="DR299" s="29"/>
      <c r="DS299" s="22"/>
      <c r="DT299" s="22"/>
      <c r="DU299" s="22"/>
      <c r="DV299" s="22"/>
    </row>
    <row r="300" spans="61:126" x14ac:dyDescent="0.25">
      <c r="BI300" s="22"/>
      <c r="BJ300" s="22"/>
      <c r="BK300" s="22"/>
      <c r="BL300" s="22"/>
      <c r="BM300" s="66"/>
      <c r="BN300" s="66"/>
      <c r="BO300" s="23"/>
      <c r="BP300" s="23"/>
      <c r="BQ300" s="23"/>
      <c r="BR300" s="24"/>
      <c r="BS300" s="24"/>
      <c r="BT300" s="68"/>
      <c r="BU300" s="68"/>
      <c r="BV300" s="25"/>
      <c r="BW300" s="26"/>
      <c r="BX300" s="27"/>
      <c r="BY300" s="28"/>
      <c r="BZ300" s="28"/>
      <c r="CA300" s="28"/>
      <c r="CB300" s="28"/>
      <c r="CC300" s="28"/>
      <c r="CD300" s="28"/>
      <c r="CE300" s="28"/>
      <c r="CF300" s="28"/>
      <c r="CG300" s="28"/>
      <c r="CH300" s="28"/>
      <c r="CI300" s="28"/>
      <c r="CJ300" s="28"/>
      <c r="CK300" s="28"/>
      <c r="CL300" s="28"/>
      <c r="CM300" s="28"/>
      <c r="CN300" s="28"/>
      <c r="CO300" s="28"/>
      <c r="CP300" s="28"/>
      <c r="CQ300" s="28"/>
      <c r="CR300" s="28"/>
      <c r="CS300" s="28"/>
      <c r="CT300" s="28"/>
      <c r="CU300" s="28"/>
      <c r="CV300" s="28"/>
      <c r="CW300" s="28"/>
      <c r="CX300" s="28"/>
      <c r="CY300" s="28"/>
      <c r="CZ300" s="28"/>
      <c r="DA300" s="28"/>
      <c r="DB300" s="28"/>
      <c r="DC300" s="28"/>
      <c r="DD300" s="28"/>
      <c r="DE300" s="28"/>
      <c r="DF300" s="28"/>
      <c r="DG300" s="28"/>
      <c r="DH300" s="28"/>
      <c r="DI300" s="28"/>
      <c r="DJ300" s="28"/>
      <c r="DK300" s="29"/>
      <c r="DL300" s="29"/>
      <c r="DM300" s="29"/>
      <c r="DN300" s="29"/>
      <c r="DO300" s="29"/>
      <c r="DP300" s="29"/>
      <c r="DQ300" s="29"/>
      <c r="DR300" s="29"/>
      <c r="DS300" s="22"/>
      <c r="DT300" s="22"/>
      <c r="DU300" s="22"/>
      <c r="DV300" s="22"/>
    </row>
    <row r="301" spans="61:126" x14ac:dyDescent="0.25">
      <c r="BI301" s="22"/>
      <c r="BJ301" s="22"/>
      <c r="BK301" s="22"/>
      <c r="BL301" s="22"/>
      <c r="BM301" s="66"/>
      <c r="BN301" s="66"/>
      <c r="BO301" s="23"/>
      <c r="BP301" s="23"/>
      <c r="BQ301" s="23"/>
      <c r="BR301" s="24"/>
      <c r="BS301" s="24"/>
      <c r="BT301" s="68"/>
      <c r="BU301" s="68"/>
      <c r="BV301" s="25"/>
      <c r="BW301" s="26"/>
      <c r="BX301" s="27"/>
      <c r="BY301" s="28"/>
      <c r="BZ301" s="28"/>
      <c r="CA301" s="28"/>
      <c r="CB301" s="28"/>
      <c r="CC301" s="28"/>
      <c r="CD301" s="28"/>
      <c r="CE301" s="28"/>
      <c r="CF301" s="28"/>
      <c r="CG301" s="28"/>
      <c r="CH301" s="28"/>
      <c r="CI301" s="28"/>
      <c r="CJ301" s="28"/>
      <c r="CK301" s="28"/>
      <c r="CL301" s="28"/>
      <c r="CM301" s="28"/>
      <c r="CN301" s="28"/>
      <c r="CO301" s="28"/>
      <c r="CP301" s="28"/>
      <c r="CQ301" s="28"/>
      <c r="CR301" s="28"/>
      <c r="CS301" s="28"/>
      <c r="CT301" s="28"/>
      <c r="CU301" s="28"/>
      <c r="CV301" s="28"/>
      <c r="CW301" s="28"/>
      <c r="CX301" s="28"/>
      <c r="CY301" s="28"/>
      <c r="CZ301" s="28"/>
      <c r="DA301" s="28"/>
      <c r="DB301" s="28"/>
      <c r="DC301" s="28"/>
      <c r="DD301" s="28"/>
      <c r="DE301" s="28"/>
      <c r="DF301" s="28"/>
      <c r="DG301" s="28"/>
      <c r="DH301" s="28"/>
      <c r="DI301" s="28"/>
      <c r="DJ301" s="28"/>
      <c r="DK301" s="29"/>
      <c r="DL301" s="29"/>
      <c r="DM301" s="29"/>
      <c r="DN301" s="29"/>
      <c r="DO301" s="29"/>
      <c r="DP301" s="29"/>
      <c r="DQ301" s="29"/>
      <c r="DR301" s="29"/>
      <c r="DS301" s="22"/>
      <c r="DT301" s="22"/>
      <c r="DU301" s="22"/>
      <c r="DV301" s="22"/>
    </row>
    <row r="302" spans="61:126" x14ac:dyDescent="0.25">
      <c r="BI302" s="22"/>
      <c r="BJ302" s="22"/>
      <c r="BK302" s="22"/>
      <c r="BL302" s="22"/>
      <c r="BM302" s="66"/>
      <c r="BN302" s="66"/>
      <c r="BO302" s="23"/>
      <c r="BP302" s="23"/>
      <c r="BQ302" s="23"/>
      <c r="BR302" s="24"/>
      <c r="BS302" s="24"/>
      <c r="BT302" s="68"/>
      <c r="BU302" s="68"/>
      <c r="BV302" s="25"/>
      <c r="BW302" s="26"/>
      <c r="BX302" s="27"/>
      <c r="BY302" s="28"/>
      <c r="BZ302" s="28"/>
      <c r="CA302" s="28"/>
      <c r="CB302" s="28"/>
      <c r="CC302" s="28"/>
      <c r="CD302" s="28"/>
      <c r="CE302" s="28"/>
      <c r="CF302" s="28"/>
      <c r="CG302" s="28"/>
      <c r="CH302" s="28"/>
      <c r="CI302" s="28"/>
      <c r="CJ302" s="28"/>
      <c r="CK302" s="28"/>
      <c r="CL302" s="28"/>
      <c r="CM302" s="28"/>
      <c r="CN302" s="28"/>
      <c r="CO302" s="28"/>
      <c r="CP302" s="28"/>
      <c r="CQ302" s="28"/>
      <c r="CR302" s="28"/>
      <c r="CS302" s="28"/>
      <c r="CT302" s="28"/>
      <c r="CU302" s="28"/>
      <c r="CV302" s="28"/>
      <c r="CW302" s="28"/>
      <c r="CX302" s="28"/>
      <c r="CY302" s="28"/>
      <c r="CZ302" s="28"/>
      <c r="DA302" s="28"/>
      <c r="DB302" s="28"/>
      <c r="DC302" s="28"/>
      <c r="DD302" s="28"/>
      <c r="DE302" s="28"/>
      <c r="DF302" s="28"/>
      <c r="DG302" s="28"/>
      <c r="DH302" s="28"/>
      <c r="DI302" s="28"/>
      <c r="DJ302" s="28"/>
      <c r="DK302" s="29"/>
      <c r="DL302" s="29"/>
      <c r="DM302" s="29"/>
      <c r="DN302" s="29"/>
      <c r="DO302" s="29"/>
      <c r="DP302" s="29"/>
      <c r="DQ302" s="29"/>
      <c r="DR302" s="29"/>
      <c r="DS302" s="22"/>
      <c r="DT302" s="22"/>
      <c r="DU302" s="22"/>
      <c r="DV302" s="22"/>
    </row>
    <row r="303" spans="61:126" x14ac:dyDescent="0.25">
      <c r="BI303" s="22"/>
      <c r="BJ303" s="22"/>
      <c r="BK303" s="22"/>
      <c r="BL303" s="22"/>
      <c r="BM303" s="66"/>
      <c r="BN303" s="66"/>
      <c r="BO303" s="23"/>
      <c r="BP303" s="23"/>
      <c r="BQ303" s="23"/>
      <c r="BR303" s="24"/>
      <c r="BS303" s="24"/>
      <c r="BT303" s="68"/>
      <c r="BU303" s="68"/>
      <c r="BV303" s="25"/>
      <c r="BW303" s="26"/>
      <c r="BX303" s="27"/>
      <c r="BY303" s="28"/>
      <c r="BZ303" s="28"/>
      <c r="CA303" s="28"/>
      <c r="CB303" s="28"/>
      <c r="CC303" s="28"/>
      <c r="CD303" s="28"/>
      <c r="CE303" s="28"/>
      <c r="CF303" s="28"/>
      <c r="CG303" s="28"/>
      <c r="CH303" s="28"/>
      <c r="CI303" s="28"/>
      <c r="CJ303" s="28"/>
      <c r="CK303" s="28"/>
      <c r="CL303" s="28"/>
      <c r="CM303" s="28"/>
      <c r="CN303" s="28"/>
      <c r="CO303" s="28"/>
      <c r="CP303" s="28"/>
      <c r="CQ303" s="28"/>
      <c r="CR303" s="28"/>
      <c r="CS303" s="28"/>
      <c r="CT303" s="28"/>
      <c r="CU303" s="28"/>
      <c r="CV303" s="28"/>
      <c r="CW303" s="28"/>
      <c r="CX303" s="28"/>
      <c r="CY303" s="28"/>
      <c r="CZ303" s="28"/>
      <c r="DA303" s="28"/>
      <c r="DB303" s="28"/>
      <c r="DC303" s="28"/>
      <c r="DD303" s="28"/>
      <c r="DE303" s="28"/>
      <c r="DF303" s="28"/>
      <c r="DG303" s="28"/>
      <c r="DH303" s="28"/>
      <c r="DI303" s="28"/>
      <c r="DJ303" s="28"/>
      <c r="DK303" s="29"/>
      <c r="DL303" s="29"/>
      <c r="DM303" s="29"/>
      <c r="DN303" s="29"/>
      <c r="DO303" s="29"/>
      <c r="DP303" s="29"/>
      <c r="DQ303" s="29"/>
      <c r="DR303" s="29"/>
      <c r="DS303" s="22"/>
      <c r="DT303" s="22"/>
      <c r="DU303" s="22"/>
      <c r="DV303" s="22"/>
    </row>
    <row r="304" spans="61:126" x14ac:dyDescent="0.25">
      <c r="BI304" s="22"/>
      <c r="BJ304" s="22"/>
      <c r="BK304" s="22"/>
      <c r="BL304" s="22"/>
      <c r="BM304" s="66"/>
      <c r="BN304" s="66"/>
      <c r="BO304" s="23"/>
      <c r="BP304" s="23"/>
      <c r="BQ304" s="23"/>
      <c r="BR304" s="24"/>
      <c r="BS304" s="24"/>
      <c r="BT304" s="68"/>
      <c r="BU304" s="68"/>
      <c r="BV304" s="25"/>
      <c r="BW304" s="26"/>
      <c r="BX304" s="27"/>
      <c r="BY304" s="28"/>
      <c r="BZ304" s="28"/>
      <c r="CA304" s="28"/>
      <c r="CB304" s="28"/>
      <c r="CC304" s="28"/>
      <c r="CD304" s="28"/>
      <c r="CE304" s="28"/>
      <c r="CF304" s="28"/>
      <c r="CG304" s="28"/>
      <c r="CH304" s="28"/>
      <c r="CI304" s="28"/>
      <c r="CJ304" s="28"/>
      <c r="CK304" s="28"/>
      <c r="CL304" s="28"/>
      <c r="CM304" s="28"/>
      <c r="CN304" s="28"/>
      <c r="CO304" s="28"/>
      <c r="CP304" s="28"/>
      <c r="CQ304" s="28"/>
      <c r="CR304" s="28"/>
      <c r="CS304" s="28"/>
      <c r="CT304" s="28"/>
      <c r="CU304" s="28"/>
      <c r="CV304" s="28"/>
      <c r="CW304" s="28"/>
      <c r="CX304" s="28"/>
      <c r="CY304" s="28"/>
      <c r="CZ304" s="28"/>
      <c r="DA304" s="28"/>
      <c r="DB304" s="28"/>
      <c r="DC304" s="28"/>
      <c r="DD304" s="28"/>
      <c r="DE304" s="28"/>
      <c r="DF304" s="28"/>
      <c r="DG304" s="28"/>
      <c r="DH304" s="28"/>
      <c r="DI304" s="28"/>
      <c r="DJ304" s="28"/>
      <c r="DK304" s="29"/>
      <c r="DL304" s="29"/>
      <c r="DM304" s="29"/>
      <c r="DN304" s="29"/>
      <c r="DO304" s="29"/>
      <c r="DP304" s="29"/>
      <c r="DQ304" s="29"/>
      <c r="DR304" s="29"/>
      <c r="DS304" s="22"/>
      <c r="DT304" s="22"/>
      <c r="DU304" s="22"/>
      <c r="DV304" s="22"/>
    </row>
    <row r="305" spans="61:126" x14ac:dyDescent="0.25">
      <c r="BI305" s="22"/>
      <c r="BJ305" s="22"/>
      <c r="BK305" s="22"/>
      <c r="BL305" s="22"/>
      <c r="BM305" s="66"/>
      <c r="BN305" s="66"/>
      <c r="BO305" s="23"/>
      <c r="BP305" s="23"/>
      <c r="BQ305" s="23"/>
      <c r="BR305" s="24"/>
      <c r="BS305" s="24"/>
      <c r="BT305" s="68"/>
      <c r="BU305" s="68"/>
      <c r="BV305" s="25"/>
      <c r="BW305" s="26"/>
      <c r="BX305" s="27"/>
      <c r="BY305" s="28"/>
      <c r="BZ305" s="28"/>
      <c r="CA305" s="28"/>
      <c r="CB305" s="28"/>
      <c r="CC305" s="28"/>
      <c r="CD305" s="28"/>
      <c r="CE305" s="28"/>
      <c r="CF305" s="28"/>
      <c r="CG305" s="28"/>
      <c r="CH305" s="28"/>
      <c r="CI305" s="28"/>
      <c r="CJ305" s="28"/>
      <c r="CK305" s="28"/>
      <c r="CL305" s="28"/>
      <c r="CM305" s="28"/>
      <c r="CN305" s="28"/>
      <c r="CO305" s="28"/>
      <c r="CP305" s="28"/>
      <c r="CQ305" s="28"/>
      <c r="CR305" s="28"/>
      <c r="CS305" s="28"/>
      <c r="CT305" s="28"/>
      <c r="CU305" s="28"/>
      <c r="CV305" s="28"/>
      <c r="CW305" s="28"/>
      <c r="CX305" s="28"/>
      <c r="CY305" s="28"/>
      <c r="CZ305" s="28"/>
      <c r="DA305" s="28"/>
      <c r="DB305" s="28"/>
      <c r="DC305" s="28"/>
      <c r="DD305" s="28"/>
      <c r="DE305" s="28"/>
      <c r="DF305" s="28"/>
      <c r="DG305" s="28"/>
      <c r="DH305" s="28"/>
      <c r="DI305" s="28"/>
      <c r="DJ305" s="28"/>
      <c r="DK305" s="29"/>
      <c r="DL305" s="29"/>
      <c r="DM305" s="29"/>
      <c r="DN305" s="29"/>
      <c r="DO305" s="29"/>
      <c r="DP305" s="29"/>
      <c r="DQ305" s="29"/>
      <c r="DR305" s="29"/>
      <c r="DS305" s="22"/>
      <c r="DT305" s="22"/>
      <c r="DU305" s="22"/>
      <c r="DV305" s="22"/>
    </row>
    <row r="306" spans="61:126" x14ac:dyDescent="0.25">
      <c r="BI306" s="22"/>
      <c r="BJ306" s="22"/>
      <c r="BK306" s="22"/>
      <c r="BL306" s="22"/>
      <c r="BM306" s="66"/>
      <c r="BN306" s="66"/>
      <c r="BO306" s="23"/>
      <c r="BP306" s="23"/>
      <c r="BQ306" s="23"/>
      <c r="BR306" s="24"/>
      <c r="BS306" s="24"/>
      <c r="BT306" s="68"/>
      <c r="BU306" s="68"/>
      <c r="BV306" s="25"/>
      <c r="BW306" s="26"/>
      <c r="BX306" s="27"/>
      <c r="BY306" s="28"/>
      <c r="BZ306" s="28"/>
      <c r="CA306" s="28"/>
      <c r="CB306" s="28"/>
      <c r="CC306" s="28"/>
      <c r="CD306" s="28"/>
      <c r="CE306" s="28"/>
      <c r="CF306" s="28"/>
      <c r="CG306" s="28"/>
      <c r="CH306" s="28"/>
      <c r="CI306" s="28"/>
      <c r="CJ306" s="28"/>
      <c r="CK306" s="28"/>
      <c r="CL306" s="28"/>
      <c r="CM306" s="28"/>
      <c r="CN306" s="28"/>
      <c r="CO306" s="28"/>
      <c r="CP306" s="28"/>
      <c r="CQ306" s="28"/>
      <c r="CR306" s="28"/>
      <c r="CS306" s="28"/>
      <c r="CT306" s="28"/>
      <c r="CU306" s="28"/>
      <c r="CV306" s="28"/>
      <c r="CW306" s="28"/>
      <c r="CX306" s="28"/>
      <c r="CY306" s="28"/>
      <c r="CZ306" s="28"/>
      <c r="DA306" s="28"/>
      <c r="DB306" s="28"/>
      <c r="DC306" s="28"/>
      <c r="DD306" s="28"/>
      <c r="DE306" s="28"/>
      <c r="DF306" s="28"/>
      <c r="DG306" s="28"/>
      <c r="DH306" s="28"/>
      <c r="DI306" s="28"/>
      <c r="DJ306" s="28"/>
      <c r="DK306" s="29"/>
      <c r="DL306" s="29"/>
      <c r="DM306" s="29"/>
      <c r="DN306" s="29"/>
      <c r="DO306" s="29"/>
      <c r="DP306" s="29"/>
      <c r="DQ306" s="29"/>
      <c r="DR306" s="29"/>
      <c r="DS306" s="22"/>
      <c r="DT306" s="22"/>
      <c r="DU306" s="22"/>
      <c r="DV306" s="22"/>
    </row>
    <row r="307" spans="61:126" x14ac:dyDescent="0.25">
      <c r="BI307" s="22"/>
      <c r="BJ307" s="22"/>
      <c r="BK307" s="22"/>
      <c r="BL307" s="22"/>
      <c r="BM307" s="66"/>
      <c r="BN307" s="66"/>
      <c r="BO307" s="23"/>
      <c r="BP307" s="23"/>
      <c r="BQ307" s="23"/>
      <c r="BR307" s="24"/>
      <c r="BS307" s="24"/>
      <c r="BT307" s="68"/>
      <c r="BU307" s="68"/>
      <c r="BV307" s="25"/>
      <c r="BW307" s="26"/>
      <c r="BX307" s="27"/>
      <c r="BY307" s="28"/>
      <c r="BZ307" s="28"/>
      <c r="CA307" s="28"/>
      <c r="CB307" s="28"/>
      <c r="CC307" s="28"/>
      <c r="CD307" s="28"/>
      <c r="CE307" s="28"/>
      <c r="CF307" s="28"/>
      <c r="CG307" s="28"/>
      <c r="CH307" s="28"/>
      <c r="CI307" s="28"/>
      <c r="CJ307" s="28"/>
      <c r="CK307" s="28"/>
      <c r="CL307" s="28"/>
      <c r="CM307" s="28"/>
      <c r="CN307" s="28"/>
      <c r="CO307" s="28"/>
      <c r="CP307" s="28"/>
      <c r="CQ307" s="28"/>
      <c r="CR307" s="28"/>
      <c r="CS307" s="28"/>
      <c r="CT307" s="28"/>
      <c r="CU307" s="28"/>
      <c r="CV307" s="28"/>
      <c r="CW307" s="28"/>
      <c r="CX307" s="28"/>
      <c r="CY307" s="28"/>
      <c r="CZ307" s="28"/>
      <c r="DA307" s="28"/>
      <c r="DB307" s="28"/>
      <c r="DC307" s="28"/>
      <c r="DD307" s="28"/>
      <c r="DE307" s="28"/>
      <c r="DF307" s="28"/>
      <c r="DG307" s="28"/>
      <c r="DH307" s="28"/>
      <c r="DI307" s="28"/>
      <c r="DJ307" s="28"/>
      <c r="DK307" s="29"/>
      <c r="DL307" s="29"/>
      <c r="DM307" s="29"/>
      <c r="DN307" s="29"/>
      <c r="DO307" s="29"/>
      <c r="DP307" s="29"/>
      <c r="DQ307" s="29"/>
      <c r="DR307" s="29"/>
      <c r="DS307" s="22"/>
      <c r="DT307" s="22"/>
      <c r="DU307" s="22"/>
      <c r="DV307" s="22"/>
    </row>
    <row r="308" spans="61:126" x14ac:dyDescent="0.25">
      <c r="BI308" s="22"/>
      <c r="BJ308" s="22"/>
      <c r="BK308" s="22"/>
      <c r="BL308" s="22"/>
      <c r="BM308" s="66"/>
      <c r="BN308" s="66"/>
      <c r="BO308" s="23"/>
      <c r="BP308" s="23"/>
      <c r="BQ308" s="23"/>
      <c r="BR308" s="24"/>
      <c r="BS308" s="24"/>
      <c r="BT308" s="68"/>
      <c r="BU308" s="68"/>
      <c r="BV308" s="25"/>
      <c r="BW308" s="26"/>
      <c r="BX308" s="27"/>
      <c r="BY308" s="28"/>
      <c r="BZ308" s="28"/>
      <c r="CA308" s="28"/>
      <c r="CB308" s="28"/>
      <c r="CC308" s="28"/>
      <c r="CD308" s="28"/>
      <c r="CE308" s="28"/>
      <c r="CF308" s="28"/>
      <c r="CG308" s="28"/>
      <c r="CH308" s="28"/>
      <c r="CI308" s="28"/>
      <c r="CJ308" s="28"/>
      <c r="CK308" s="28"/>
      <c r="CL308" s="28"/>
      <c r="CM308" s="28"/>
      <c r="CN308" s="28"/>
      <c r="CO308" s="28"/>
      <c r="CP308" s="28"/>
      <c r="CQ308" s="28"/>
      <c r="CR308" s="28"/>
      <c r="CS308" s="28"/>
      <c r="CT308" s="28"/>
      <c r="CU308" s="28"/>
      <c r="CV308" s="28"/>
      <c r="CW308" s="28"/>
      <c r="CX308" s="28"/>
      <c r="CY308" s="28"/>
      <c r="CZ308" s="28"/>
      <c r="DA308" s="28"/>
      <c r="DB308" s="28"/>
      <c r="DC308" s="28"/>
      <c r="DD308" s="28"/>
      <c r="DE308" s="28"/>
      <c r="DF308" s="28"/>
      <c r="DG308" s="28"/>
      <c r="DH308" s="28"/>
      <c r="DI308" s="28"/>
      <c r="DJ308" s="28"/>
      <c r="DK308" s="29"/>
      <c r="DL308" s="29"/>
      <c r="DM308" s="29"/>
      <c r="DN308" s="29"/>
      <c r="DO308" s="29"/>
      <c r="DP308" s="29"/>
      <c r="DQ308" s="29"/>
      <c r="DR308" s="29"/>
      <c r="DS308" s="22"/>
      <c r="DT308" s="22"/>
      <c r="DU308" s="22"/>
      <c r="DV308" s="22"/>
    </row>
    <row r="309" spans="61:126" x14ac:dyDescent="0.25">
      <c r="BI309" s="22"/>
      <c r="BJ309" s="22"/>
      <c r="BK309" s="22"/>
      <c r="BL309" s="22"/>
      <c r="BM309" s="66"/>
      <c r="BN309" s="66"/>
      <c r="BO309" s="23"/>
      <c r="BP309" s="23"/>
      <c r="BQ309" s="23"/>
      <c r="BR309" s="24"/>
      <c r="BS309" s="24"/>
      <c r="BT309" s="68"/>
      <c r="BU309" s="68"/>
      <c r="BV309" s="25"/>
      <c r="BW309" s="26"/>
      <c r="BX309" s="27"/>
      <c r="BY309" s="28"/>
      <c r="BZ309" s="28"/>
      <c r="CA309" s="28"/>
      <c r="CB309" s="28"/>
      <c r="CC309" s="28"/>
      <c r="CD309" s="28"/>
      <c r="CE309" s="28"/>
      <c r="CF309" s="28"/>
      <c r="CG309" s="28"/>
      <c r="CH309" s="28"/>
      <c r="CI309" s="28"/>
      <c r="CJ309" s="28"/>
      <c r="CK309" s="28"/>
      <c r="CL309" s="28"/>
      <c r="CM309" s="28"/>
      <c r="CN309" s="28"/>
      <c r="CO309" s="28"/>
      <c r="CP309" s="28"/>
      <c r="CQ309" s="28"/>
      <c r="CR309" s="28"/>
      <c r="CS309" s="28"/>
      <c r="CT309" s="28"/>
      <c r="CU309" s="28"/>
      <c r="CV309" s="28"/>
      <c r="CW309" s="28"/>
      <c r="CX309" s="28"/>
      <c r="CY309" s="28"/>
      <c r="CZ309" s="28"/>
      <c r="DA309" s="28"/>
      <c r="DB309" s="28"/>
      <c r="DC309" s="28"/>
      <c r="DD309" s="28"/>
      <c r="DE309" s="28"/>
      <c r="DF309" s="28"/>
      <c r="DG309" s="28"/>
      <c r="DH309" s="28"/>
      <c r="DI309" s="28"/>
      <c r="DJ309" s="28"/>
      <c r="DK309" s="29"/>
      <c r="DL309" s="29"/>
      <c r="DM309" s="29"/>
      <c r="DN309" s="29"/>
      <c r="DO309" s="29"/>
      <c r="DP309" s="29"/>
      <c r="DQ309" s="29"/>
      <c r="DR309" s="29"/>
      <c r="DS309" s="22"/>
      <c r="DT309" s="22"/>
      <c r="DU309" s="22"/>
      <c r="DV309" s="22"/>
    </row>
    <row r="310" spans="61:126" x14ac:dyDescent="0.25">
      <c r="BI310" s="22"/>
      <c r="BJ310" s="22"/>
      <c r="BK310" s="22"/>
      <c r="BL310" s="22"/>
      <c r="BM310" s="66"/>
      <c r="BN310" s="66"/>
      <c r="BO310" s="23"/>
      <c r="BP310" s="23"/>
      <c r="BQ310" s="23"/>
      <c r="BR310" s="24"/>
      <c r="BS310" s="24"/>
      <c r="BT310" s="68"/>
      <c r="BU310" s="68"/>
      <c r="BV310" s="25"/>
      <c r="BW310" s="26"/>
      <c r="BX310" s="27"/>
      <c r="BY310" s="28"/>
      <c r="BZ310" s="28"/>
      <c r="CA310" s="28"/>
      <c r="CB310" s="28"/>
      <c r="CC310" s="28"/>
      <c r="CD310" s="28"/>
      <c r="CE310" s="28"/>
      <c r="CF310" s="28"/>
      <c r="CG310" s="28"/>
      <c r="CH310" s="28"/>
      <c r="CI310" s="28"/>
      <c r="CJ310" s="28"/>
      <c r="CK310" s="28"/>
      <c r="CL310" s="28"/>
      <c r="CM310" s="28"/>
      <c r="CN310" s="28"/>
      <c r="CO310" s="28"/>
      <c r="CP310" s="28"/>
      <c r="CQ310" s="28"/>
      <c r="CR310" s="28"/>
      <c r="CS310" s="28"/>
      <c r="CT310" s="28"/>
      <c r="CU310" s="28"/>
      <c r="CV310" s="28"/>
      <c r="CW310" s="28"/>
      <c r="CX310" s="28"/>
      <c r="CY310" s="28"/>
      <c r="CZ310" s="28"/>
      <c r="DA310" s="28"/>
      <c r="DB310" s="28"/>
      <c r="DC310" s="28"/>
      <c r="DD310" s="28"/>
      <c r="DE310" s="28"/>
      <c r="DF310" s="28"/>
      <c r="DG310" s="28"/>
      <c r="DH310" s="28"/>
      <c r="DI310" s="28"/>
      <c r="DJ310" s="28"/>
      <c r="DK310" s="29"/>
      <c r="DL310" s="29"/>
      <c r="DM310" s="29"/>
      <c r="DN310" s="29"/>
      <c r="DO310" s="29"/>
      <c r="DP310" s="29"/>
      <c r="DQ310" s="29"/>
      <c r="DR310" s="29"/>
      <c r="DS310" s="22"/>
      <c r="DT310" s="22"/>
      <c r="DU310" s="22"/>
      <c r="DV310" s="22"/>
    </row>
    <row r="311" spans="61:126" x14ac:dyDescent="0.25">
      <c r="BI311" s="22"/>
      <c r="BJ311" s="22"/>
      <c r="BK311" s="22"/>
      <c r="BL311" s="22"/>
      <c r="BM311" s="66"/>
      <c r="BN311" s="66"/>
      <c r="BO311" s="23"/>
      <c r="BP311" s="23"/>
      <c r="BQ311" s="23"/>
      <c r="BR311" s="24"/>
      <c r="BS311" s="24"/>
      <c r="BT311" s="68"/>
      <c r="BU311" s="68"/>
      <c r="BV311" s="25"/>
      <c r="BW311" s="26"/>
      <c r="BX311" s="27"/>
      <c r="BY311" s="28"/>
      <c r="BZ311" s="28"/>
      <c r="CA311" s="28"/>
      <c r="CB311" s="28"/>
      <c r="CC311" s="28"/>
      <c r="CD311" s="28"/>
      <c r="CE311" s="28"/>
      <c r="CF311" s="28"/>
      <c r="CG311" s="28"/>
      <c r="CH311" s="28"/>
      <c r="CI311" s="28"/>
      <c r="CJ311" s="28"/>
      <c r="CK311" s="28"/>
      <c r="CL311" s="28"/>
      <c r="CM311" s="28"/>
      <c r="CN311" s="28"/>
      <c r="CO311" s="28"/>
      <c r="CP311" s="28"/>
      <c r="CQ311" s="28"/>
      <c r="CR311" s="28"/>
      <c r="CS311" s="28"/>
      <c r="CT311" s="28"/>
      <c r="CU311" s="28"/>
      <c r="CV311" s="28"/>
      <c r="CW311" s="28"/>
      <c r="CX311" s="28"/>
      <c r="CY311" s="28"/>
      <c r="CZ311" s="28"/>
      <c r="DA311" s="28"/>
      <c r="DB311" s="28"/>
      <c r="DC311" s="28"/>
      <c r="DD311" s="28"/>
      <c r="DE311" s="28"/>
      <c r="DF311" s="28"/>
      <c r="DG311" s="28"/>
      <c r="DH311" s="28"/>
      <c r="DI311" s="28"/>
      <c r="DJ311" s="28"/>
      <c r="DK311" s="29"/>
      <c r="DL311" s="29"/>
      <c r="DM311" s="29"/>
      <c r="DN311" s="29"/>
      <c r="DO311" s="29"/>
      <c r="DP311" s="29"/>
      <c r="DQ311" s="29"/>
      <c r="DR311" s="29"/>
      <c r="DS311" s="22"/>
      <c r="DT311" s="22"/>
      <c r="DU311" s="22"/>
      <c r="DV311" s="22"/>
    </row>
    <row r="312" spans="61:126" x14ac:dyDescent="0.25">
      <c r="BI312" s="22"/>
      <c r="BJ312" s="22"/>
      <c r="BK312" s="22"/>
      <c r="BL312" s="22"/>
      <c r="BM312" s="66"/>
      <c r="BN312" s="66"/>
      <c r="BO312" s="23"/>
      <c r="BP312" s="23"/>
      <c r="BQ312" s="23"/>
      <c r="BR312" s="24"/>
      <c r="BS312" s="24"/>
      <c r="BT312" s="68"/>
      <c r="BU312" s="68"/>
      <c r="BV312" s="25"/>
      <c r="BW312" s="26"/>
      <c r="BX312" s="27"/>
      <c r="BY312" s="28"/>
      <c r="BZ312" s="28"/>
      <c r="CA312" s="28"/>
      <c r="CB312" s="28"/>
      <c r="CC312" s="28"/>
      <c r="CD312" s="28"/>
      <c r="CE312" s="28"/>
      <c r="CF312" s="28"/>
      <c r="CG312" s="28"/>
      <c r="CH312" s="28"/>
      <c r="CI312" s="28"/>
      <c r="CJ312" s="28"/>
      <c r="CK312" s="28"/>
      <c r="CL312" s="28"/>
      <c r="CM312" s="28"/>
      <c r="CN312" s="28"/>
      <c r="CO312" s="28"/>
      <c r="CP312" s="28"/>
      <c r="CQ312" s="28"/>
      <c r="CR312" s="28"/>
      <c r="CS312" s="28"/>
      <c r="CT312" s="28"/>
      <c r="CU312" s="28"/>
      <c r="CV312" s="28"/>
      <c r="CW312" s="28"/>
      <c r="CX312" s="28"/>
      <c r="CY312" s="28"/>
      <c r="CZ312" s="28"/>
      <c r="DA312" s="28"/>
      <c r="DB312" s="28"/>
      <c r="DC312" s="28"/>
      <c r="DD312" s="28"/>
      <c r="DE312" s="28"/>
      <c r="DF312" s="28"/>
      <c r="DG312" s="28"/>
      <c r="DH312" s="28"/>
      <c r="DI312" s="28"/>
      <c r="DJ312" s="28"/>
      <c r="DK312" s="29"/>
      <c r="DL312" s="29"/>
      <c r="DM312" s="29"/>
      <c r="DN312" s="29"/>
      <c r="DO312" s="29"/>
      <c r="DP312" s="29"/>
      <c r="DQ312" s="29"/>
      <c r="DR312" s="29"/>
      <c r="DS312" s="22"/>
      <c r="DT312" s="22"/>
      <c r="DU312" s="22"/>
      <c r="DV312" s="22"/>
    </row>
    <row r="313" spans="61:126" x14ac:dyDescent="0.25">
      <c r="BI313" s="22"/>
      <c r="BJ313" s="22"/>
      <c r="BK313" s="22"/>
      <c r="BL313" s="22"/>
      <c r="BM313" s="66"/>
      <c r="BN313" s="66"/>
      <c r="BO313" s="23"/>
      <c r="BP313" s="23"/>
      <c r="BQ313" s="23"/>
      <c r="BR313" s="24"/>
      <c r="BS313" s="24"/>
      <c r="BT313" s="68"/>
      <c r="BU313" s="68"/>
      <c r="BV313" s="25"/>
      <c r="BW313" s="26"/>
      <c r="BX313" s="27"/>
      <c r="BY313" s="28"/>
      <c r="BZ313" s="28"/>
      <c r="CA313" s="28"/>
      <c r="CB313" s="28"/>
      <c r="CC313" s="28"/>
      <c r="CD313" s="28"/>
      <c r="CE313" s="28"/>
      <c r="CF313" s="28"/>
      <c r="CG313" s="28"/>
      <c r="CH313" s="28"/>
      <c r="CI313" s="28"/>
      <c r="CJ313" s="28"/>
      <c r="CK313" s="28"/>
      <c r="CL313" s="28"/>
      <c r="CM313" s="28"/>
      <c r="CN313" s="28"/>
      <c r="CO313" s="28"/>
      <c r="CP313" s="28"/>
      <c r="CQ313" s="28"/>
      <c r="CR313" s="28"/>
      <c r="CS313" s="28"/>
      <c r="CT313" s="28"/>
      <c r="CU313" s="28"/>
      <c r="CV313" s="28"/>
      <c r="CW313" s="28"/>
      <c r="CX313" s="28"/>
      <c r="CY313" s="28"/>
      <c r="CZ313" s="28"/>
      <c r="DA313" s="28"/>
      <c r="DB313" s="28"/>
      <c r="DC313" s="28"/>
      <c r="DD313" s="28"/>
      <c r="DE313" s="28"/>
      <c r="DF313" s="28"/>
      <c r="DG313" s="28"/>
      <c r="DH313" s="28"/>
      <c r="DI313" s="28"/>
      <c r="DJ313" s="28"/>
      <c r="DK313" s="29"/>
      <c r="DL313" s="29"/>
      <c r="DM313" s="29"/>
      <c r="DN313" s="29"/>
      <c r="DO313" s="29"/>
      <c r="DP313" s="29"/>
      <c r="DQ313" s="29"/>
      <c r="DR313" s="29"/>
      <c r="DS313" s="22"/>
      <c r="DT313" s="22"/>
      <c r="DU313" s="22"/>
      <c r="DV313" s="22"/>
    </row>
    <row r="314" spans="61:126" x14ac:dyDescent="0.25">
      <c r="BI314" s="22"/>
      <c r="BJ314" s="22"/>
      <c r="BK314" s="22"/>
      <c r="BL314" s="22"/>
      <c r="BM314" s="66"/>
      <c r="BN314" s="66"/>
      <c r="BO314" s="23"/>
      <c r="BP314" s="23"/>
      <c r="BQ314" s="23"/>
      <c r="BR314" s="24"/>
      <c r="BS314" s="24"/>
      <c r="BT314" s="68"/>
      <c r="BU314" s="68"/>
      <c r="BV314" s="25"/>
      <c r="BW314" s="26"/>
      <c r="BX314" s="27"/>
      <c r="BY314" s="28"/>
      <c r="BZ314" s="28"/>
      <c r="CA314" s="28"/>
      <c r="CB314" s="28"/>
      <c r="CC314" s="28"/>
      <c r="CD314" s="28"/>
      <c r="CE314" s="28"/>
      <c r="CF314" s="28"/>
      <c r="CG314" s="28"/>
      <c r="CH314" s="28"/>
      <c r="CI314" s="28"/>
      <c r="CJ314" s="28"/>
      <c r="CK314" s="28"/>
      <c r="CL314" s="28"/>
      <c r="CM314" s="28"/>
      <c r="CN314" s="28"/>
      <c r="CO314" s="28"/>
      <c r="CP314" s="28"/>
      <c r="CQ314" s="28"/>
      <c r="CR314" s="28"/>
      <c r="CS314" s="28"/>
      <c r="CT314" s="28"/>
      <c r="CU314" s="28"/>
      <c r="CV314" s="28"/>
      <c r="CW314" s="28"/>
      <c r="CX314" s="28"/>
      <c r="CY314" s="28"/>
      <c r="CZ314" s="28"/>
      <c r="DA314" s="28"/>
      <c r="DB314" s="28"/>
      <c r="DC314" s="28"/>
      <c r="DD314" s="28"/>
      <c r="DE314" s="28"/>
      <c r="DF314" s="28"/>
      <c r="DG314" s="28"/>
      <c r="DH314" s="28"/>
      <c r="DI314" s="28"/>
      <c r="DJ314" s="28"/>
      <c r="DK314" s="29"/>
      <c r="DL314" s="29"/>
      <c r="DM314" s="29"/>
      <c r="DN314" s="29"/>
      <c r="DO314" s="29"/>
      <c r="DP314" s="29"/>
      <c r="DQ314" s="29"/>
      <c r="DR314" s="29"/>
      <c r="DS314" s="22"/>
      <c r="DT314" s="22"/>
      <c r="DU314" s="22"/>
      <c r="DV314" s="22"/>
    </row>
    <row r="315" spans="61:126" x14ac:dyDescent="0.25">
      <c r="BI315" s="22"/>
      <c r="BJ315" s="22"/>
      <c r="BK315" s="22"/>
      <c r="BL315" s="22"/>
      <c r="BM315" s="66"/>
      <c r="BN315" s="66"/>
      <c r="BO315" s="23"/>
      <c r="BP315" s="23"/>
      <c r="BQ315" s="23"/>
      <c r="BR315" s="24"/>
      <c r="BS315" s="24"/>
      <c r="BT315" s="68"/>
      <c r="BU315" s="68"/>
      <c r="BV315" s="25"/>
      <c r="BW315" s="26"/>
      <c r="BX315" s="27"/>
      <c r="BY315" s="28"/>
      <c r="BZ315" s="28"/>
      <c r="CA315" s="28"/>
      <c r="CB315" s="28"/>
      <c r="CC315" s="28"/>
      <c r="CD315" s="28"/>
      <c r="CE315" s="28"/>
      <c r="CF315" s="28"/>
      <c r="CG315" s="28"/>
      <c r="CH315" s="28"/>
      <c r="CI315" s="28"/>
      <c r="CJ315" s="28"/>
      <c r="CK315" s="28"/>
      <c r="CL315" s="28"/>
      <c r="CM315" s="28"/>
      <c r="CN315" s="28"/>
      <c r="CO315" s="28"/>
      <c r="CP315" s="28"/>
      <c r="CQ315" s="28"/>
      <c r="CR315" s="28"/>
      <c r="CS315" s="28"/>
      <c r="CT315" s="28"/>
      <c r="CU315" s="28"/>
      <c r="CV315" s="28"/>
      <c r="CW315" s="28"/>
      <c r="CX315" s="28"/>
      <c r="CY315" s="28"/>
      <c r="CZ315" s="28"/>
      <c r="DA315" s="28"/>
      <c r="DB315" s="28"/>
      <c r="DC315" s="28"/>
      <c r="DD315" s="28"/>
      <c r="DE315" s="28"/>
      <c r="DF315" s="28"/>
      <c r="DG315" s="28"/>
      <c r="DH315" s="28"/>
      <c r="DI315" s="28"/>
      <c r="DJ315" s="28"/>
      <c r="DK315" s="29"/>
      <c r="DL315" s="29"/>
      <c r="DM315" s="29"/>
      <c r="DN315" s="29"/>
      <c r="DO315" s="29"/>
      <c r="DP315" s="29"/>
      <c r="DQ315" s="29"/>
      <c r="DR315" s="29"/>
      <c r="DS315" s="22"/>
      <c r="DT315" s="22"/>
      <c r="DU315" s="22"/>
      <c r="DV315" s="22"/>
    </row>
    <row r="316" spans="61:126" x14ac:dyDescent="0.25">
      <c r="BI316" s="22"/>
      <c r="BJ316" s="22"/>
      <c r="BK316" s="22"/>
      <c r="BL316" s="22"/>
      <c r="BM316" s="66"/>
      <c r="BN316" s="66"/>
      <c r="BO316" s="23"/>
      <c r="BP316" s="23"/>
      <c r="BQ316" s="23"/>
      <c r="BR316" s="24"/>
      <c r="BS316" s="24"/>
      <c r="BT316" s="68"/>
      <c r="BU316" s="68"/>
      <c r="BV316" s="25"/>
      <c r="BW316" s="26"/>
      <c r="BX316" s="27"/>
      <c r="BY316" s="28"/>
      <c r="BZ316" s="28"/>
      <c r="CA316" s="28"/>
      <c r="CB316" s="28"/>
      <c r="CC316" s="28"/>
      <c r="CD316" s="28"/>
      <c r="CE316" s="28"/>
      <c r="CF316" s="28"/>
      <c r="CG316" s="28"/>
      <c r="CH316" s="28"/>
      <c r="CI316" s="28"/>
      <c r="CJ316" s="28"/>
      <c r="CK316" s="28"/>
      <c r="CL316" s="28"/>
      <c r="CM316" s="28"/>
      <c r="CN316" s="28"/>
      <c r="CO316" s="28"/>
      <c r="CP316" s="28"/>
      <c r="CQ316" s="28"/>
      <c r="CR316" s="28"/>
      <c r="CS316" s="28"/>
      <c r="CT316" s="28"/>
      <c r="CU316" s="28"/>
      <c r="CV316" s="28"/>
      <c r="CW316" s="28"/>
      <c r="CX316" s="28"/>
      <c r="CY316" s="28"/>
      <c r="CZ316" s="28"/>
      <c r="DA316" s="28"/>
      <c r="DB316" s="28"/>
      <c r="DC316" s="28"/>
      <c r="DD316" s="28"/>
      <c r="DE316" s="28"/>
      <c r="DF316" s="28"/>
      <c r="DG316" s="28"/>
      <c r="DH316" s="28"/>
      <c r="DI316" s="28"/>
      <c r="DJ316" s="28"/>
      <c r="DK316" s="29"/>
      <c r="DL316" s="29"/>
      <c r="DM316" s="29"/>
      <c r="DN316" s="29"/>
      <c r="DO316" s="29"/>
      <c r="DP316" s="29"/>
      <c r="DQ316" s="29"/>
      <c r="DR316" s="29"/>
      <c r="DS316" s="22"/>
      <c r="DT316" s="22"/>
      <c r="DU316" s="22"/>
      <c r="DV316" s="22"/>
    </row>
    <row r="317" spans="61:126" x14ac:dyDescent="0.25">
      <c r="BI317" s="22"/>
      <c r="BJ317" s="22"/>
      <c r="BK317" s="22"/>
      <c r="BL317" s="22"/>
      <c r="BM317" s="66"/>
      <c r="BN317" s="66"/>
      <c r="BO317" s="23"/>
      <c r="BP317" s="23"/>
      <c r="BQ317" s="23"/>
      <c r="BR317" s="24"/>
      <c r="BS317" s="24"/>
      <c r="BT317" s="68"/>
      <c r="BU317" s="68"/>
      <c r="BV317" s="25"/>
      <c r="BW317" s="26"/>
      <c r="BX317" s="27"/>
      <c r="BY317" s="28"/>
      <c r="BZ317" s="28"/>
      <c r="CA317" s="28"/>
      <c r="CB317" s="28"/>
      <c r="CC317" s="28"/>
      <c r="CD317" s="28"/>
      <c r="CE317" s="28"/>
      <c r="CF317" s="28"/>
      <c r="CG317" s="28"/>
      <c r="CH317" s="28"/>
      <c r="CI317" s="28"/>
      <c r="CJ317" s="28"/>
      <c r="CK317" s="28"/>
      <c r="CL317" s="28"/>
      <c r="CM317" s="28"/>
      <c r="CN317" s="28"/>
      <c r="CO317" s="28"/>
      <c r="CP317" s="28"/>
      <c r="CQ317" s="28"/>
      <c r="CR317" s="28"/>
      <c r="CS317" s="28"/>
      <c r="CT317" s="28"/>
      <c r="CU317" s="28"/>
      <c r="CV317" s="28"/>
      <c r="CW317" s="28"/>
      <c r="CX317" s="28"/>
      <c r="CY317" s="28"/>
      <c r="CZ317" s="28"/>
      <c r="DA317" s="28"/>
      <c r="DB317" s="28"/>
      <c r="DC317" s="28"/>
      <c r="DD317" s="28"/>
      <c r="DE317" s="28"/>
      <c r="DF317" s="28"/>
      <c r="DG317" s="28"/>
      <c r="DH317" s="28"/>
      <c r="DI317" s="28"/>
      <c r="DJ317" s="28"/>
      <c r="DK317" s="29"/>
      <c r="DL317" s="29"/>
      <c r="DM317" s="29"/>
      <c r="DN317" s="29"/>
      <c r="DO317" s="29"/>
      <c r="DP317" s="29"/>
      <c r="DQ317" s="29"/>
      <c r="DR317" s="29"/>
      <c r="DS317" s="22"/>
      <c r="DT317" s="22"/>
      <c r="DU317" s="22"/>
      <c r="DV317" s="22"/>
    </row>
    <row r="318" spans="61:126" x14ac:dyDescent="0.25">
      <c r="BI318" s="22"/>
      <c r="BJ318" s="22"/>
      <c r="BK318" s="22"/>
      <c r="BL318" s="22"/>
      <c r="BM318" s="66"/>
      <c r="BN318" s="66"/>
      <c r="BO318" s="23"/>
      <c r="BP318" s="23"/>
      <c r="BQ318" s="23"/>
      <c r="BR318" s="24"/>
      <c r="BS318" s="24"/>
      <c r="BT318" s="68"/>
      <c r="BU318" s="68"/>
      <c r="BV318" s="25"/>
      <c r="BW318" s="26"/>
      <c r="BX318" s="27"/>
      <c r="BY318" s="28"/>
      <c r="BZ318" s="28"/>
      <c r="CA318" s="28"/>
      <c r="CB318" s="28"/>
      <c r="CC318" s="28"/>
      <c r="CD318" s="28"/>
      <c r="CE318" s="28"/>
      <c r="CF318" s="28"/>
      <c r="CG318" s="28"/>
      <c r="CH318" s="28"/>
      <c r="CI318" s="28"/>
      <c r="CJ318" s="28"/>
      <c r="CK318" s="28"/>
      <c r="CL318" s="28"/>
      <c r="CM318" s="28"/>
      <c r="CN318" s="28"/>
      <c r="CO318" s="28"/>
      <c r="CP318" s="28"/>
      <c r="CQ318" s="28"/>
      <c r="CR318" s="28"/>
      <c r="CS318" s="28"/>
      <c r="CT318" s="28"/>
      <c r="CU318" s="28"/>
      <c r="CV318" s="28"/>
      <c r="CW318" s="28"/>
      <c r="CX318" s="28"/>
      <c r="CY318" s="28"/>
      <c r="CZ318" s="28"/>
      <c r="DA318" s="28"/>
      <c r="DB318" s="28"/>
      <c r="DC318" s="28"/>
      <c r="DD318" s="28"/>
      <c r="DE318" s="28"/>
      <c r="DF318" s="28"/>
      <c r="DG318" s="28"/>
      <c r="DH318" s="28"/>
      <c r="DI318" s="28"/>
      <c r="DJ318" s="28"/>
      <c r="DK318" s="29"/>
      <c r="DL318" s="29"/>
      <c r="DM318" s="29"/>
      <c r="DN318" s="29"/>
      <c r="DO318" s="29"/>
      <c r="DP318" s="29"/>
      <c r="DQ318" s="29"/>
      <c r="DR318" s="29"/>
      <c r="DS318" s="22"/>
      <c r="DT318" s="22"/>
      <c r="DU318" s="22"/>
      <c r="DV318" s="22"/>
    </row>
    <row r="319" spans="61:126" x14ac:dyDescent="0.25">
      <c r="BI319" s="22"/>
      <c r="BJ319" s="22"/>
      <c r="BK319" s="22"/>
      <c r="BL319" s="22"/>
      <c r="BM319" s="66"/>
      <c r="BN319" s="66"/>
      <c r="BO319" s="23"/>
      <c r="BP319" s="23"/>
      <c r="BQ319" s="23"/>
      <c r="BR319" s="24"/>
      <c r="BS319" s="24"/>
      <c r="BT319" s="68"/>
      <c r="BU319" s="68"/>
      <c r="BV319" s="25"/>
      <c r="BW319" s="26"/>
      <c r="BX319" s="27"/>
      <c r="BY319" s="28"/>
      <c r="BZ319" s="28"/>
      <c r="CA319" s="28"/>
      <c r="CB319" s="28"/>
      <c r="CC319" s="28"/>
      <c r="CD319" s="28"/>
      <c r="CE319" s="28"/>
      <c r="CF319" s="28"/>
      <c r="CG319" s="28"/>
      <c r="CH319" s="28"/>
      <c r="CI319" s="28"/>
      <c r="CJ319" s="28"/>
      <c r="CK319" s="28"/>
      <c r="CL319" s="28"/>
      <c r="CM319" s="28"/>
      <c r="CN319" s="28"/>
      <c r="CO319" s="28"/>
      <c r="CP319" s="28"/>
      <c r="CQ319" s="28"/>
      <c r="CR319" s="28"/>
      <c r="CS319" s="28"/>
      <c r="CT319" s="28"/>
      <c r="CU319" s="28"/>
      <c r="CV319" s="28"/>
      <c r="CW319" s="28"/>
      <c r="CX319" s="28"/>
      <c r="CY319" s="28"/>
      <c r="CZ319" s="28"/>
      <c r="DA319" s="28"/>
      <c r="DB319" s="28"/>
      <c r="DC319" s="28"/>
      <c r="DD319" s="28"/>
      <c r="DE319" s="28"/>
      <c r="DF319" s="28"/>
      <c r="DG319" s="28"/>
      <c r="DH319" s="28"/>
      <c r="DI319" s="28"/>
      <c r="DJ319" s="28"/>
      <c r="DK319" s="29"/>
      <c r="DL319" s="29"/>
      <c r="DM319" s="29"/>
      <c r="DN319" s="29"/>
      <c r="DO319" s="29"/>
      <c r="DP319" s="29"/>
      <c r="DQ319" s="29"/>
      <c r="DR319" s="29"/>
      <c r="DS319" s="22"/>
      <c r="DT319" s="22"/>
      <c r="DU319" s="22"/>
      <c r="DV319" s="22"/>
    </row>
    <row r="320" spans="61:126" x14ac:dyDescent="0.25">
      <c r="BI320" s="22"/>
      <c r="BJ320" s="22"/>
      <c r="BK320" s="22"/>
      <c r="BL320" s="22"/>
      <c r="BM320" s="66"/>
      <c r="BN320" s="66"/>
      <c r="BO320" s="23"/>
      <c r="BP320" s="23"/>
      <c r="BQ320" s="23"/>
      <c r="BR320" s="24"/>
      <c r="BS320" s="24"/>
      <c r="BT320" s="68"/>
      <c r="BU320" s="68"/>
      <c r="BV320" s="25"/>
      <c r="BW320" s="26"/>
      <c r="BX320" s="27"/>
      <c r="BY320" s="28"/>
      <c r="BZ320" s="28"/>
      <c r="CA320" s="28"/>
      <c r="CB320" s="28"/>
      <c r="CC320" s="28"/>
      <c r="CD320" s="28"/>
      <c r="CE320" s="28"/>
      <c r="CF320" s="28"/>
      <c r="CG320" s="28"/>
      <c r="CH320" s="28"/>
      <c r="CI320" s="28"/>
      <c r="CJ320" s="28"/>
      <c r="CK320" s="28"/>
      <c r="CL320" s="28"/>
      <c r="CM320" s="28"/>
      <c r="CN320" s="28"/>
      <c r="CO320" s="28"/>
      <c r="CP320" s="28"/>
      <c r="CQ320" s="28"/>
      <c r="CR320" s="28"/>
      <c r="CS320" s="28"/>
      <c r="CT320" s="28"/>
      <c r="CU320" s="28"/>
      <c r="CV320" s="28"/>
      <c r="CW320" s="28"/>
      <c r="CX320" s="28"/>
      <c r="CY320" s="28"/>
      <c r="CZ320" s="28"/>
      <c r="DA320" s="28"/>
      <c r="DB320" s="28"/>
      <c r="DC320" s="28"/>
      <c r="DD320" s="28"/>
      <c r="DE320" s="28"/>
      <c r="DF320" s="28"/>
      <c r="DG320" s="28"/>
      <c r="DH320" s="28"/>
      <c r="DI320" s="28"/>
      <c r="DJ320" s="28"/>
      <c r="DK320" s="29"/>
      <c r="DL320" s="29"/>
      <c r="DM320" s="29"/>
      <c r="DN320" s="29"/>
      <c r="DO320" s="29"/>
      <c r="DP320" s="29"/>
      <c r="DQ320" s="29"/>
      <c r="DR320" s="29"/>
      <c r="DS320" s="22"/>
      <c r="DT320" s="22"/>
      <c r="DU320" s="22"/>
      <c r="DV320" s="22"/>
    </row>
    <row r="321" spans="61:126" x14ac:dyDescent="0.25">
      <c r="BI321" s="22"/>
      <c r="BJ321" s="22"/>
      <c r="BK321" s="22"/>
      <c r="BL321" s="22"/>
      <c r="BM321" s="66"/>
      <c r="BN321" s="66"/>
      <c r="BO321" s="23"/>
      <c r="BP321" s="23"/>
      <c r="BQ321" s="23"/>
      <c r="BR321" s="24"/>
      <c r="BS321" s="24"/>
      <c r="BT321" s="68"/>
      <c r="BU321" s="68"/>
      <c r="BV321" s="25"/>
      <c r="BW321" s="26"/>
      <c r="BX321" s="27"/>
      <c r="BY321" s="28"/>
      <c r="BZ321" s="28"/>
      <c r="CA321" s="28"/>
      <c r="CB321" s="28"/>
      <c r="CC321" s="28"/>
      <c r="CD321" s="28"/>
      <c r="CE321" s="28"/>
      <c r="CF321" s="28"/>
      <c r="CG321" s="28"/>
      <c r="CH321" s="28"/>
      <c r="CI321" s="28"/>
      <c r="CJ321" s="28"/>
      <c r="CK321" s="28"/>
      <c r="CL321" s="28"/>
      <c r="CM321" s="28"/>
      <c r="CN321" s="28"/>
      <c r="CO321" s="28"/>
      <c r="CP321" s="28"/>
      <c r="CQ321" s="28"/>
      <c r="CR321" s="28"/>
      <c r="CS321" s="28"/>
      <c r="CT321" s="28"/>
      <c r="CU321" s="28"/>
      <c r="CV321" s="28"/>
      <c r="CW321" s="28"/>
      <c r="CX321" s="28"/>
      <c r="CY321" s="28"/>
      <c r="CZ321" s="28"/>
      <c r="DA321" s="28"/>
      <c r="DB321" s="28"/>
      <c r="DC321" s="28"/>
      <c r="DD321" s="28"/>
      <c r="DE321" s="28"/>
      <c r="DF321" s="28"/>
      <c r="DG321" s="28"/>
      <c r="DH321" s="28"/>
      <c r="DI321" s="28"/>
      <c r="DJ321" s="28"/>
      <c r="DK321" s="29"/>
      <c r="DL321" s="29"/>
      <c r="DM321" s="29"/>
      <c r="DN321" s="29"/>
      <c r="DO321" s="29"/>
      <c r="DP321" s="29"/>
      <c r="DQ321" s="29"/>
      <c r="DR321" s="29"/>
      <c r="DS321" s="22"/>
      <c r="DT321" s="22"/>
      <c r="DU321" s="22"/>
      <c r="DV321" s="22"/>
    </row>
    <row r="322" spans="61:126" x14ac:dyDescent="0.25">
      <c r="BI322" s="22"/>
      <c r="BJ322" s="22"/>
      <c r="BK322" s="22"/>
      <c r="BL322" s="22"/>
      <c r="BM322" s="66"/>
      <c r="BN322" s="66"/>
      <c r="BO322" s="23"/>
      <c r="BP322" s="23"/>
      <c r="BQ322" s="23"/>
      <c r="BR322" s="24"/>
      <c r="BS322" s="24"/>
      <c r="BT322" s="68"/>
      <c r="BU322" s="68"/>
      <c r="BV322" s="25"/>
      <c r="BW322" s="26"/>
      <c r="BX322" s="27"/>
      <c r="BY322" s="28"/>
      <c r="BZ322" s="28"/>
      <c r="CA322" s="28"/>
      <c r="CB322" s="28"/>
      <c r="CC322" s="28"/>
      <c r="CD322" s="28"/>
      <c r="CE322" s="28"/>
      <c r="CF322" s="28"/>
      <c r="CG322" s="28"/>
      <c r="CH322" s="28"/>
      <c r="CI322" s="28"/>
      <c r="CJ322" s="28"/>
      <c r="CK322" s="28"/>
      <c r="CL322" s="28"/>
      <c r="CM322" s="28"/>
      <c r="CN322" s="28"/>
      <c r="CO322" s="28"/>
      <c r="CP322" s="28"/>
      <c r="CQ322" s="28"/>
      <c r="CR322" s="28"/>
      <c r="CS322" s="28"/>
      <c r="CT322" s="28"/>
      <c r="CU322" s="28"/>
      <c r="CV322" s="28"/>
      <c r="CW322" s="28"/>
      <c r="CX322" s="28"/>
      <c r="CY322" s="28"/>
      <c r="CZ322" s="28"/>
      <c r="DA322" s="28"/>
      <c r="DB322" s="28"/>
      <c r="DC322" s="28"/>
      <c r="DD322" s="28"/>
      <c r="DE322" s="28"/>
      <c r="DF322" s="28"/>
      <c r="DG322" s="28"/>
      <c r="DH322" s="28"/>
      <c r="DI322" s="28"/>
      <c r="DJ322" s="28"/>
      <c r="DK322" s="29"/>
      <c r="DL322" s="29"/>
      <c r="DM322" s="29"/>
      <c r="DN322" s="29"/>
      <c r="DO322" s="29"/>
      <c r="DP322" s="29"/>
      <c r="DQ322" s="29"/>
      <c r="DR322" s="29"/>
      <c r="DS322" s="22"/>
      <c r="DT322" s="22"/>
      <c r="DU322" s="22"/>
      <c r="DV322" s="22"/>
    </row>
    <row r="323" spans="61:126" x14ac:dyDescent="0.25">
      <c r="BI323" s="22"/>
      <c r="BJ323" s="22"/>
      <c r="BK323" s="22"/>
      <c r="BL323" s="22"/>
      <c r="BM323" s="66"/>
      <c r="BN323" s="66"/>
      <c r="BO323" s="23"/>
      <c r="BP323" s="23"/>
      <c r="BQ323" s="23"/>
      <c r="BR323" s="24"/>
      <c r="BS323" s="24"/>
      <c r="BT323" s="68"/>
      <c r="BU323" s="68"/>
      <c r="BV323" s="25"/>
      <c r="BW323" s="26"/>
      <c r="BX323" s="27"/>
      <c r="BY323" s="28"/>
      <c r="BZ323" s="28"/>
      <c r="CA323" s="28"/>
      <c r="CB323" s="28"/>
      <c r="CC323" s="28"/>
      <c r="CD323" s="28"/>
      <c r="CE323" s="28"/>
      <c r="CF323" s="28"/>
      <c r="CG323" s="28"/>
      <c r="CH323" s="28"/>
      <c r="CI323" s="28"/>
      <c r="CJ323" s="28"/>
      <c r="CK323" s="28"/>
      <c r="CL323" s="28"/>
      <c r="CM323" s="28"/>
      <c r="CN323" s="28"/>
      <c r="CO323" s="28"/>
      <c r="CP323" s="28"/>
      <c r="CQ323" s="28"/>
      <c r="CR323" s="28"/>
      <c r="CS323" s="28"/>
      <c r="CT323" s="28"/>
      <c r="CU323" s="28"/>
      <c r="CV323" s="28"/>
      <c r="CW323" s="28"/>
      <c r="CX323" s="28"/>
      <c r="CY323" s="28"/>
      <c r="CZ323" s="28"/>
      <c r="DA323" s="28"/>
      <c r="DB323" s="28"/>
      <c r="DC323" s="28"/>
      <c r="DD323" s="28"/>
      <c r="DE323" s="28"/>
      <c r="DF323" s="28"/>
      <c r="DG323" s="28"/>
      <c r="DH323" s="28"/>
      <c r="DI323" s="28"/>
      <c r="DJ323" s="28"/>
      <c r="DK323" s="29"/>
      <c r="DL323" s="29"/>
      <c r="DM323" s="29"/>
      <c r="DN323" s="29"/>
      <c r="DO323" s="29"/>
      <c r="DP323" s="29"/>
      <c r="DQ323" s="29"/>
      <c r="DR323" s="29"/>
      <c r="DS323" s="22"/>
      <c r="DT323" s="22"/>
      <c r="DU323" s="22"/>
      <c r="DV323" s="22"/>
    </row>
    <row r="324" spans="61:126" x14ac:dyDescent="0.25">
      <c r="BI324" s="22"/>
      <c r="BJ324" s="22"/>
      <c r="BK324" s="22"/>
      <c r="BL324" s="22"/>
      <c r="BM324" s="66"/>
      <c r="BN324" s="66"/>
      <c r="BO324" s="23"/>
      <c r="BP324" s="23"/>
      <c r="BQ324" s="23"/>
      <c r="BR324" s="24"/>
      <c r="BS324" s="24"/>
      <c r="BT324" s="68"/>
      <c r="BU324" s="68"/>
      <c r="BV324" s="25"/>
      <c r="BW324" s="26"/>
      <c r="BX324" s="27"/>
      <c r="BY324" s="28"/>
      <c r="BZ324" s="28"/>
      <c r="CA324" s="28"/>
      <c r="CB324" s="28"/>
      <c r="CC324" s="28"/>
      <c r="CD324" s="28"/>
      <c r="CE324" s="28"/>
      <c r="CF324" s="28"/>
      <c r="CG324" s="28"/>
      <c r="CH324" s="28"/>
      <c r="CI324" s="28"/>
      <c r="CJ324" s="28"/>
      <c r="CK324" s="28"/>
      <c r="CL324" s="28"/>
      <c r="CM324" s="28"/>
      <c r="CN324" s="28"/>
      <c r="CO324" s="28"/>
      <c r="CP324" s="28"/>
      <c r="CQ324" s="28"/>
      <c r="CR324" s="28"/>
      <c r="CS324" s="28"/>
      <c r="CT324" s="28"/>
      <c r="CU324" s="28"/>
      <c r="CV324" s="28"/>
      <c r="CW324" s="28"/>
      <c r="CX324" s="28"/>
      <c r="CY324" s="28"/>
      <c r="CZ324" s="28"/>
      <c r="DA324" s="28"/>
      <c r="DB324" s="28"/>
      <c r="DC324" s="28"/>
      <c r="DD324" s="28"/>
      <c r="DE324" s="28"/>
      <c r="DF324" s="28"/>
      <c r="DG324" s="28"/>
      <c r="DH324" s="28"/>
      <c r="DI324" s="28"/>
      <c r="DJ324" s="28"/>
      <c r="DK324" s="29"/>
      <c r="DL324" s="29"/>
      <c r="DM324" s="29"/>
      <c r="DN324" s="29"/>
      <c r="DO324" s="29"/>
      <c r="DP324" s="29"/>
      <c r="DQ324" s="29"/>
      <c r="DR324" s="29"/>
      <c r="DS324" s="22"/>
      <c r="DT324" s="22"/>
      <c r="DU324" s="22"/>
      <c r="DV324" s="22"/>
    </row>
    <row r="325" spans="61:126" x14ac:dyDescent="0.25">
      <c r="BI325" s="22"/>
      <c r="BJ325" s="22"/>
      <c r="BK325" s="22"/>
      <c r="BL325" s="22"/>
      <c r="BM325" s="66"/>
      <c r="BN325" s="66"/>
      <c r="BO325" s="23"/>
      <c r="BP325" s="23"/>
      <c r="BQ325" s="23"/>
      <c r="BR325" s="24"/>
      <c r="BS325" s="24"/>
      <c r="BT325" s="68"/>
      <c r="BU325" s="68"/>
      <c r="BV325" s="25"/>
      <c r="BW325" s="26"/>
      <c r="BX325" s="27"/>
      <c r="BY325" s="28"/>
      <c r="BZ325" s="28"/>
      <c r="CA325" s="28"/>
      <c r="CB325" s="28"/>
      <c r="CC325" s="28"/>
      <c r="CD325" s="28"/>
      <c r="CE325" s="28"/>
      <c r="CF325" s="28"/>
      <c r="CG325" s="28"/>
      <c r="CH325" s="28"/>
      <c r="CI325" s="28"/>
      <c r="CJ325" s="28"/>
      <c r="CK325" s="28"/>
      <c r="CL325" s="28"/>
      <c r="CM325" s="28"/>
      <c r="CN325" s="28"/>
      <c r="CO325" s="28"/>
      <c r="CP325" s="28"/>
      <c r="CQ325" s="28"/>
      <c r="CR325" s="28"/>
      <c r="CS325" s="28"/>
      <c r="CT325" s="28"/>
      <c r="CU325" s="28"/>
      <c r="CV325" s="28"/>
      <c r="CW325" s="28"/>
      <c r="CX325" s="28"/>
      <c r="CY325" s="28"/>
      <c r="CZ325" s="28"/>
      <c r="DA325" s="28"/>
      <c r="DB325" s="28"/>
      <c r="DC325" s="28"/>
      <c r="DD325" s="28"/>
      <c r="DE325" s="28"/>
      <c r="DF325" s="28"/>
      <c r="DG325" s="28"/>
      <c r="DH325" s="28"/>
      <c r="DI325" s="28"/>
      <c r="DJ325" s="28"/>
      <c r="DK325" s="29"/>
      <c r="DL325" s="29"/>
      <c r="DM325" s="29"/>
      <c r="DN325" s="29"/>
      <c r="DO325" s="29"/>
      <c r="DP325" s="29"/>
      <c r="DQ325" s="29"/>
      <c r="DR325" s="29"/>
      <c r="DS325" s="22"/>
      <c r="DT325" s="22"/>
      <c r="DU325" s="22"/>
      <c r="DV325" s="22"/>
    </row>
    <row r="326" spans="61:126" x14ac:dyDescent="0.25">
      <c r="BI326" s="22"/>
      <c r="BJ326" s="22"/>
      <c r="BK326" s="22"/>
      <c r="BL326" s="22"/>
      <c r="BM326" s="66"/>
      <c r="BN326" s="66"/>
      <c r="BO326" s="23"/>
      <c r="BP326" s="23"/>
      <c r="BQ326" s="23"/>
      <c r="BR326" s="24"/>
      <c r="BS326" s="24"/>
      <c r="BT326" s="68"/>
      <c r="BU326" s="68"/>
      <c r="BV326" s="25"/>
      <c r="BW326" s="26"/>
      <c r="BX326" s="27"/>
      <c r="BY326" s="28"/>
      <c r="BZ326" s="28"/>
      <c r="CA326" s="28"/>
      <c r="CB326" s="28"/>
      <c r="CC326" s="28"/>
      <c r="CD326" s="28"/>
      <c r="CE326" s="28"/>
      <c r="CF326" s="28"/>
      <c r="CG326" s="28"/>
      <c r="CH326" s="28"/>
      <c r="CI326" s="28"/>
      <c r="CJ326" s="28"/>
      <c r="CK326" s="28"/>
      <c r="CL326" s="28"/>
      <c r="CM326" s="28"/>
      <c r="CN326" s="28"/>
      <c r="CO326" s="28"/>
      <c r="CP326" s="28"/>
      <c r="CQ326" s="28"/>
      <c r="CR326" s="28"/>
      <c r="CS326" s="28"/>
      <c r="CT326" s="28"/>
      <c r="CU326" s="28"/>
      <c r="CV326" s="28"/>
      <c r="CW326" s="28"/>
      <c r="CX326" s="28"/>
      <c r="CY326" s="28"/>
      <c r="CZ326" s="28"/>
      <c r="DA326" s="28"/>
      <c r="DB326" s="28"/>
      <c r="DC326" s="28"/>
      <c r="DD326" s="28"/>
      <c r="DE326" s="28"/>
      <c r="DF326" s="28"/>
      <c r="DG326" s="28"/>
      <c r="DH326" s="28"/>
      <c r="DI326" s="28"/>
      <c r="DJ326" s="28"/>
      <c r="DK326" s="29"/>
      <c r="DL326" s="29"/>
      <c r="DM326" s="29"/>
      <c r="DN326" s="29"/>
      <c r="DO326" s="29"/>
      <c r="DP326" s="29"/>
      <c r="DQ326" s="29"/>
      <c r="DR326" s="29"/>
      <c r="DS326" s="22"/>
      <c r="DT326" s="22"/>
      <c r="DU326" s="22"/>
      <c r="DV326" s="22"/>
    </row>
    <row r="327" spans="61:126" x14ac:dyDescent="0.25">
      <c r="BI327" s="22"/>
      <c r="BJ327" s="22"/>
      <c r="BK327" s="22"/>
      <c r="BL327" s="22"/>
      <c r="BM327" s="66"/>
      <c r="BN327" s="66"/>
      <c r="BO327" s="23"/>
      <c r="BP327" s="23"/>
      <c r="BQ327" s="23"/>
      <c r="BR327" s="24"/>
      <c r="BS327" s="24"/>
      <c r="BT327" s="68"/>
      <c r="BU327" s="68"/>
      <c r="BV327" s="25"/>
      <c r="BW327" s="26"/>
      <c r="BX327" s="27"/>
      <c r="BY327" s="28"/>
      <c r="BZ327" s="28"/>
      <c r="CA327" s="28"/>
      <c r="CB327" s="28"/>
      <c r="CC327" s="28"/>
      <c r="CD327" s="28"/>
      <c r="CE327" s="28"/>
      <c r="CF327" s="28"/>
      <c r="CG327" s="28"/>
      <c r="CH327" s="28"/>
      <c r="CI327" s="28"/>
      <c r="CJ327" s="28"/>
      <c r="CK327" s="28"/>
      <c r="CL327" s="28"/>
      <c r="CM327" s="28"/>
      <c r="CN327" s="28"/>
      <c r="CO327" s="28"/>
      <c r="CP327" s="28"/>
      <c r="CQ327" s="28"/>
      <c r="CR327" s="28"/>
      <c r="CS327" s="28"/>
      <c r="CT327" s="28"/>
      <c r="CU327" s="28"/>
      <c r="CV327" s="28"/>
      <c r="CW327" s="28"/>
      <c r="CX327" s="28"/>
      <c r="CY327" s="28"/>
      <c r="CZ327" s="28"/>
      <c r="DA327" s="28"/>
      <c r="DB327" s="28"/>
      <c r="DC327" s="28"/>
      <c r="DD327" s="28"/>
      <c r="DE327" s="28"/>
      <c r="DF327" s="28"/>
      <c r="DG327" s="28"/>
      <c r="DH327" s="28"/>
      <c r="DI327" s="28"/>
      <c r="DJ327" s="28"/>
      <c r="DK327" s="29"/>
      <c r="DL327" s="29"/>
      <c r="DM327" s="29"/>
      <c r="DN327" s="29"/>
      <c r="DO327" s="29"/>
      <c r="DP327" s="29"/>
      <c r="DQ327" s="29"/>
      <c r="DR327" s="29"/>
      <c r="DS327" s="22"/>
      <c r="DT327" s="22"/>
      <c r="DU327" s="22"/>
      <c r="DV327" s="22"/>
    </row>
    <row r="328" spans="61:126" x14ac:dyDescent="0.25">
      <c r="BI328" s="22"/>
      <c r="BJ328" s="22"/>
      <c r="BK328" s="22"/>
      <c r="BL328" s="22"/>
      <c r="BM328" s="66"/>
      <c r="BN328" s="66"/>
      <c r="BO328" s="23"/>
      <c r="BP328" s="23"/>
      <c r="BQ328" s="23"/>
      <c r="BR328" s="24"/>
      <c r="BS328" s="24"/>
      <c r="BT328" s="68"/>
      <c r="BU328" s="68"/>
      <c r="BV328" s="25"/>
      <c r="BW328" s="26"/>
      <c r="BX328" s="27"/>
      <c r="BY328" s="28"/>
      <c r="BZ328" s="28"/>
      <c r="CA328" s="28"/>
      <c r="CB328" s="28"/>
      <c r="CC328" s="28"/>
      <c r="CD328" s="28"/>
      <c r="CE328" s="28"/>
      <c r="CF328" s="28"/>
      <c r="CG328" s="28"/>
      <c r="CH328" s="28"/>
      <c r="CI328" s="28"/>
      <c r="CJ328" s="28"/>
      <c r="CK328" s="28"/>
      <c r="CL328" s="28"/>
      <c r="CM328" s="28"/>
      <c r="CN328" s="28"/>
      <c r="CO328" s="28"/>
      <c r="CP328" s="28"/>
      <c r="CQ328" s="28"/>
      <c r="CR328" s="28"/>
      <c r="CS328" s="28"/>
      <c r="CT328" s="28"/>
      <c r="CU328" s="28"/>
      <c r="CV328" s="28"/>
      <c r="CW328" s="28"/>
      <c r="CX328" s="28"/>
      <c r="CY328" s="28"/>
      <c r="CZ328" s="28"/>
      <c r="DA328" s="28"/>
      <c r="DB328" s="28"/>
      <c r="DC328" s="28"/>
      <c r="DD328" s="28"/>
      <c r="DE328" s="28"/>
      <c r="DF328" s="28"/>
      <c r="DG328" s="28"/>
      <c r="DH328" s="28"/>
      <c r="DI328" s="28"/>
      <c r="DJ328" s="28"/>
      <c r="DK328" s="29"/>
      <c r="DL328" s="29"/>
      <c r="DM328" s="29"/>
      <c r="DN328" s="29"/>
      <c r="DO328" s="29"/>
      <c r="DP328" s="29"/>
      <c r="DQ328" s="29"/>
      <c r="DR328" s="29"/>
      <c r="DS328" s="22"/>
      <c r="DT328" s="22"/>
      <c r="DU328" s="22"/>
      <c r="DV328" s="22"/>
    </row>
    <row r="329" spans="61:126" x14ac:dyDescent="0.25">
      <c r="BI329" s="22"/>
      <c r="BJ329" s="22"/>
      <c r="BK329" s="22"/>
      <c r="BL329" s="22"/>
      <c r="BM329" s="66"/>
      <c r="BN329" s="66"/>
      <c r="BO329" s="23"/>
      <c r="BP329" s="23"/>
      <c r="BQ329" s="23"/>
      <c r="BR329" s="24"/>
      <c r="BS329" s="24"/>
      <c r="BT329" s="68"/>
      <c r="BU329" s="68"/>
      <c r="BV329" s="25"/>
      <c r="BW329" s="26"/>
      <c r="BX329" s="27"/>
      <c r="BY329" s="28"/>
      <c r="BZ329" s="28"/>
      <c r="CA329" s="28"/>
      <c r="CB329" s="28"/>
      <c r="CC329" s="28"/>
      <c r="CD329" s="28"/>
      <c r="CE329" s="28"/>
      <c r="CF329" s="28"/>
      <c r="CG329" s="28"/>
      <c r="CH329" s="28"/>
      <c r="CI329" s="28"/>
      <c r="CJ329" s="28"/>
      <c r="CK329" s="28"/>
      <c r="CL329" s="28"/>
      <c r="CM329" s="28"/>
      <c r="CN329" s="28"/>
      <c r="CO329" s="28"/>
      <c r="CP329" s="28"/>
      <c r="CQ329" s="28"/>
      <c r="CR329" s="28"/>
      <c r="CS329" s="28"/>
      <c r="CT329" s="28"/>
      <c r="CU329" s="28"/>
      <c r="CV329" s="28"/>
      <c r="CW329" s="28"/>
      <c r="CX329" s="28"/>
      <c r="CY329" s="28"/>
      <c r="CZ329" s="28"/>
      <c r="DA329" s="28"/>
      <c r="DB329" s="28"/>
      <c r="DC329" s="28"/>
      <c r="DD329" s="28"/>
      <c r="DE329" s="28"/>
      <c r="DF329" s="28"/>
      <c r="DG329" s="28"/>
      <c r="DH329" s="28"/>
      <c r="DI329" s="28"/>
      <c r="DJ329" s="28"/>
      <c r="DK329" s="29"/>
      <c r="DL329" s="29"/>
      <c r="DM329" s="29"/>
      <c r="DN329" s="29"/>
      <c r="DO329" s="29"/>
      <c r="DP329" s="29"/>
      <c r="DQ329" s="29"/>
      <c r="DR329" s="29"/>
      <c r="DS329" s="22"/>
      <c r="DT329" s="22"/>
      <c r="DU329" s="22"/>
      <c r="DV329" s="22"/>
    </row>
    <row r="330" spans="61:126" x14ac:dyDescent="0.25">
      <c r="BI330" s="22"/>
      <c r="BJ330" s="22"/>
      <c r="BK330" s="22"/>
      <c r="BL330" s="22"/>
      <c r="BM330" s="66"/>
      <c r="BN330" s="66"/>
      <c r="BO330" s="23"/>
      <c r="BP330" s="23"/>
      <c r="BQ330" s="23"/>
      <c r="BR330" s="24"/>
      <c r="BS330" s="24"/>
      <c r="BT330" s="68"/>
      <c r="BU330" s="68"/>
      <c r="BV330" s="25"/>
      <c r="BW330" s="26"/>
      <c r="BX330" s="27"/>
      <c r="BY330" s="28"/>
      <c r="BZ330" s="28"/>
      <c r="CA330" s="28"/>
      <c r="CB330" s="28"/>
      <c r="CC330" s="28"/>
      <c r="CD330" s="28"/>
      <c r="CE330" s="28"/>
      <c r="CF330" s="28"/>
      <c r="CG330" s="28"/>
      <c r="CH330" s="28"/>
      <c r="CI330" s="28"/>
      <c r="CJ330" s="28"/>
      <c r="CK330" s="28"/>
      <c r="CL330" s="28"/>
      <c r="CM330" s="28"/>
      <c r="CN330" s="28"/>
      <c r="CO330" s="28"/>
      <c r="CP330" s="28"/>
      <c r="CQ330" s="28"/>
      <c r="CR330" s="28"/>
      <c r="CS330" s="28"/>
      <c r="CT330" s="28"/>
      <c r="CU330" s="28"/>
      <c r="CV330" s="28"/>
      <c r="CW330" s="28"/>
      <c r="CX330" s="28"/>
      <c r="CY330" s="28"/>
      <c r="CZ330" s="28"/>
      <c r="DA330" s="28"/>
      <c r="DB330" s="28"/>
      <c r="DC330" s="28"/>
      <c r="DD330" s="28"/>
      <c r="DE330" s="28"/>
      <c r="DF330" s="28"/>
      <c r="DG330" s="28"/>
      <c r="DH330" s="28"/>
      <c r="DI330" s="28"/>
      <c r="DJ330" s="28"/>
      <c r="DK330" s="29"/>
      <c r="DL330" s="29"/>
      <c r="DM330" s="29"/>
      <c r="DN330" s="29"/>
      <c r="DO330" s="29"/>
      <c r="DP330" s="29"/>
      <c r="DQ330" s="29"/>
      <c r="DR330" s="29"/>
      <c r="DS330" s="22"/>
      <c r="DT330" s="22"/>
      <c r="DU330" s="22"/>
      <c r="DV330" s="22"/>
    </row>
    <row r="331" spans="61:126" x14ac:dyDescent="0.25">
      <c r="BI331" s="22"/>
      <c r="BJ331" s="22"/>
      <c r="BK331" s="22"/>
      <c r="BL331" s="22"/>
      <c r="BM331" s="66"/>
      <c r="BN331" s="66"/>
      <c r="BO331" s="23"/>
      <c r="BP331" s="23"/>
      <c r="BQ331" s="23"/>
      <c r="BR331" s="24"/>
      <c r="BS331" s="24"/>
      <c r="BT331" s="68"/>
      <c r="BU331" s="68"/>
      <c r="BV331" s="25"/>
      <c r="BW331" s="26"/>
      <c r="BX331" s="27"/>
      <c r="BY331" s="28"/>
      <c r="BZ331" s="28"/>
      <c r="CA331" s="28"/>
      <c r="CB331" s="28"/>
      <c r="CC331" s="28"/>
      <c r="CD331" s="28"/>
      <c r="CE331" s="28"/>
      <c r="CF331" s="28"/>
      <c r="CG331" s="28"/>
      <c r="CH331" s="28"/>
      <c r="CI331" s="28"/>
      <c r="CJ331" s="28"/>
      <c r="CK331" s="28"/>
      <c r="CL331" s="28"/>
      <c r="CM331" s="28"/>
      <c r="CN331" s="28"/>
      <c r="CO331" s="28"/>
      <c r="CP331" s="28"/>
      <c r="CQ331" s="28"/>
      <c r="CR331" s="28"/>
      <c r="CS331" s="28"/>
      <c r="CT331" s="28"/>
      <c r="CU331" s="28"/>
      <c r="CV331" s="28"/>
      <c r="CW331" s="28"/>
      <c r="CX331" s="28"/>
      <c r="CY331" s="28"/>
      <c r="CZ331" s="28"/>
      <c r="DA331" s="28"/>
      <c r="DB331" s="28"/>
      <c r="DC331" s="28"/>
      <c r="DD331" s="28"/>
      <c r="DE331" s="28"/>
      <c r="DF331" s="28"/>
      <c r="DG331" s="28"/>
      <c r="DH331" s="28"/>
      <c r="DI331" s="28"/>
      <c r="DJ331" s="28"/>
      <c r="DK331" s="29"/>
      <c r="DL331" s="29"/>
      <c r="DM331" s="29"/>
      <c r="DN331" s="29"/>
      <c r="DO331" s="29"/>
      <c r="DP331" s="29"/>
      <c r="DQ331" s="29"/>
      <c r="DR331" s="29"/>
      <c r="DS331" s="22"/>
      <c r="DT331" s="22"/>
      <c r="DU331" s="22"/>
      <c r="DV331" s="22"/>
    </row>
    <row r="332" spans="61:126" x14ac:dyDescent="0.25">
      <c r="BI332" s="22"/>
      <c r="BJ332" s="22"/>
      <c r="BK332" s="22"/>
      <c r="BL332" s="22"/>
      <c r="BM332" s="66"/>
      <c r="BN332" s="66"/>
      <c r="BO332" s="23"/>
      <c r="BP332" s="23"/>
      <c r="BQ332" s="23"/>
      <c r="BR332" s="24"/>
      <c r="BS332" s="24"/>
      <c r="BT332" s="68"/>
      <c r="BU332" s="68"/>
      <c r="BV332" s="25"/>
      <c r="BW332" s="26"/>
      <c r="BX332" s="27"/>
      <c r="BY332" s="28"/>
      <c r="BZ332" s="28"/>
      <c r="CA332" s="28"/>
      <c r="CB332" s="28"/>
      <c r="CC332" s="28"/>
      <c r="CD332" s="28"/>
      <c r="CE332" s="28"/>
      <c r="CF332" s="28"/>
      <c r="CG332" s="28"/>
      <c r="CH332" s="28"/>
      <c r="CI332" s="28"/>
      <c r="CJ332" s="28"/>
      <c r="CK332" s="28"/>
      <c r="CL332" s="28"/>
      <c r="CM332" s="28"/>
      <c r="CN332" s="28"/>
      <c r="CO332" s="28"/>
      <c r="CP332" s="28"/>
      <c r="CQ332" s="28"/>
      <c r="CR332" s="28"/>
      <c r="CS332" s="28"/>
      <c r="CT332" s="28"/>
      <c r="CU332" s="28"/>
      <c r="CV332" s="28"/>
      <c r="CW332" s="28"/>
      <c r="CX332" s="28"/>
      <c r="CY332" s="28"/>
      <c r="CZ332" s="28"/>
      <c r="DA332" s="28"/>
      <c r="DB332" s="28"/>
      <c r="DC332" s="28"/>
      <c r="DD332" s="28"/>
      <c r="DE332" s="28"/>
      <c r="DF332" s="28"/>
      <c r="DG332" s="28"/>
      <c r="DH332" s="28"/>
      <c r="DI332" s="28"/>
      <c r="DJ332" s="28"/>
      <c r="DK332" s="29"/>
      <c r="DL332" s="29"/>
      <c r="DM332" s="29"/>
      <c r="DN332" s="29"/>
      <c r="DO332" s="29"/>
      <c r="DP332" s="29"/>
      <c r="DQ332" s="29"/>
      <c r="DR332" s="29"/>
      <c r="DS332" s="22"/>
      <c r="DT332" s="22"/>
      <c r="DU332" s="22"/>
      <c r="DV332" s="22"/>
    </row>
    <row r="333" spans="61:126" x14ac:dyDescent="0.25">
      <c r="BI333" s="22"/>
      <c r="BJ333" s="22"/>
      <c r="BK333" s="22"/>
      <c r="BL333" s="22"/>
      <c r="BM333" s="66"/>
      <c r="BN333" s="66"/>
      <c r="BO333" s="23"/>
      <c r="BP333" s="23"/>
      <c r="BQ333" s="23"/>
      <c r="BR333" s="24"/>
      <c r="BS333" s="24"/>
      <c r="BT333" s="68"/>
      <c r="BU333" s="68"/>
      <c r="BV333" s="25"/>
      <c r="BW333" s="26"/>
      <c r="BX333" s="27"/>
      <c r="BY333" s="28"/>
      <c r="BZ333" s="28"/>
      <c r="CA333" s="28"/>
      <c r="CB333" s="28"/>
      <c r="CC333" s="28"/>
      <c r="CD333" s="28"/>
      <c r="CE333" s="28"/>
      <c r="CF333" s="28"/>
      <c r="CG333" s="28"/>
      <c r="CH333" s="28"/>
      <c r="CI333" s="28"/>
      <c r="CJ333" s="28"/>
      <c r="CK333" s="28"/>
      <c r="CL333" s="28"/>
      <c r="CM333" s="28"/>
      <c r="CN333" s="28"/>
      <c r="CO333" s="28"/>
      <c r="CP333" s="28"/>
      <c r="CQ333" s="28"/>
      <c r="CR333" s="28"/>
      <c r="CS333" s="28"/>
      <c r="CT333" s="28"/>
      <c r="CU333" s="28"/>
      <c r="CV333" s="28"/>
      <c r="CW333" s="28"/>
      <c r="CX333" s="28"/>
      <c r="CY333" s="28"/>
      <c r="CZ333" s="28"/>
      <c r="DA333" s="28"/>
      <c r="DB333" s="28"/>
      <c r="DC333" s="28"/>
      <c r="DD333" s="28"/>
      <c r="DE333" s="28"/>
      <c r="DF333" s="28"/>
      <c r="DG333" s="28"/>
      <c r="DH333" s="28"/>
      <c r="DI333" s="28"/>
      <c r="DJ333" s="28"/>
      <c r="DK333" s="29"/>
      <c r="DL333" s="29"/>
      <c r="DM333" s="29"/>
      <c r="DN333" s="29"/>
      <c r="DO333" s="29"/>
      <c r="DP333" s="29"/>
      <c r="DQ333" s="29"/>
      <c r="DR333" s="29"/>
      <c r="DS333" s="22"/>
      <c r="DT333" s="22"/>
      <c r="DU333" s="22"/>
      <c r="DV333" s="22"/>
    </row>
    <row r="334" spans="61:126" x14ac:dyDescent="0.25">
      <c r="BI334" s="22"/>
      <c r="BJ334" s="22"/>
      <c r="BK334" s="22"/>
      <c r="BL334" s="22"/>
      <c r="BM334" s="66"/>
      <c r="BN334" s="66"/>
      <c r="BO334" s="23"/>
      <c r="BP334" s="23"/>
      <c r="BQ334" s="23"/>
      <c r="BR334" s="24"/>
      <c r="BS334" s="24"/>
      <c r="BT334" s="68"/>
      <c r="BU334" s="68"/>
      <c r="BV334" s="25"/>
      <c r="BW334" s="26"/>
      <c r="BX334" s="27"/>
      <c r="BY334" s="28"/>
      <c r="BZ334" s="28"/>
      <c r="CA334" s="28"/>
      <c r="CB334" s="28"/>
      <c r="CC334" s="28"/>
      <c r="CD334" s="28"/>
      <c r="CE334" s="28"/>
      <c r="CF334" s="28"/>
      <c r="CG334" s="28"/>
      <c r="CH334" s="28"/>
      <c r="CI334" s="28"/>
      <c r="CJ334" s="28"/>
      <c r="CK334" s="28"/>
      <c r="CL334" s="28"/>
      <c r="CM334" s="28"/>
      <c r="CN334" s="28"/>
      <c r="CO334" s="28"/>
      <c r="CP334" s="28"/>
      <c r="CQ334" s="28"/>
      <c r="CR334" s="28"/>
      <c r="CS334" s="28"/>
      <c r="CT334" s="28"/>
      <c r="CU334" s="28"/>
      <c r="CV334" s="28"/>
      <c r="CW334" s="28"/>
      <c r="CX334" s="28"/>
      <c r="CY334" s="28"/>
      <c r="CZ334" s="28"/>
      <c r="DA334" s="28"/>
      <c r="DB334" s="28"/>
      <c r="DC334" s="28"/>
      <c r="DD334" s="28"/>
      <c r="DE334" s="28"/>
      <c r="DF334" s="28"/>
      <c r="DG334" s="28"/>
      <c r="DH334" s="28"/>
      <c r="DI334" s="28"/>
      <c r="DJ334" s="28"/>
      <c r="DK334" s="29"/>
      <c r="DL334" s="29"/>
      <c r="DM334" s="29"/>
      <c r="DN334" s="29"/>
      <c r="DO334" s="29"/>
      <c r="DP334" s="29"/>
      <c r="DQ334" s="29"/>
      <c r="DR334" s="29"/>
      <c r="DS334" s="22"/>
      <c r="DT334" s="22"/>
      <c r="DU334" s="22"/>
      <c r="DV334" s="22"/>
    </row>
    <row r="335" spans="61:126" x14ac:dyDescent="0.25">
      <c r="BI335" s="22"/>
      <c r="BJ335" s="22"/>
      <c r="BK335" s="22"/>
      <c r="BL335" s="22"/>
      <c r="BM335" s="66"/>
      <c r="BN335" s="66"/>
      <c r="BO335" s="23"/>
      <c r="BP335" s="23"/>
      <c r="BQ335" s="23"/>
      <c r="BR335" s="24"/>
      <c r="BS335" s="24"/>
      <c r="BT335" s="68"/>
      <c r="BU335" s="68"/>
      <c r="BV335" s="25"/>
      <c r="BW335" s="26"/>
      <c r="BX335" s="27"/>
      <c r="BY335" s="28"/>
      <c r="BZ335" s="28"/>
      <c r="CA335" s="28"/>
      <c r="CB335" s="28"/>
      <c r="CC335" s="28"/>
      <c r="CD335" s="28"/>
      <c r="CE335" s="28"/>
      <c r="CF335" s="28"/>
      <c r="CG335" s="28"/>
      <c r="CH335" s="28"/>
      <c r="CI335" s="28"/>
      <c r="CJ335" s="28"/>
      <c r="CK335" s="28"/>
      <c r="CL335" s="28"/>
      <c r="CM335" s="28"/>
      <c r="CN335" s="28"/>
      <c r="CO335" s="28"/>
      <c r="CP335" s="28"/>
      <c r="CQ335" s="28"/>
      <c r="CR335" s="28"/>
      <c r="CS335" s="28"/>
      <c r="CT335" s="28"/>
      <c r="CU335" s="28"/>
      <c r="CV335" s="28"/>
      <c r="CW335" s="28"/>
      <c r="CX335" s="28"/>
      <c r="CY335" s="28"/>
      <c r="CZ335" s="28"/>
      <c r="DA335" s="28"/>
      <c r="DB335" s="28"/>
      <c r="DC335" s="28"/>
      <c r="DD335" s="28"/>
      <c r="DE335" s="28"/>
      <c r="DF335" s="28"/>
      <c r="DG335" s="28"/>
      <c r="DH335" s="28"/>
      <c r="DI335" s="28"/>
      <c r="DJ335" s="28"/>
      <c r="DK335" s="29"/>
      <c r="DL335" s="29"/>
      <c r="DM335" s="29"/>
      <c r="DN335" s="29"/>
      <c r="DO335" s="29"/>
      <c r="DP335" s="29"/>
      <c r="DQ335" s="29"/>
      <c r="DR335" s="29"/>
      <c r="DS335" s="22"/>
      <c r="DT335" s="22"/>
      <c r="DU335" s="22"/>
      <c r="DV335" s="22"/>
    </row>
    <row r="336" spans="61:126" x14ac:dyDescent="0.25">
      <c r="BI336" s="22"/>
      <c r="BJ336" s="22"/>
      <c r="BK336" s="22"/>
      <c r="BL336" s="22"/>
      <c r="BM336" s="66"/>
      <c r="BN336" s="66"/>
      <c r="BO336" s="23"/>
      <c r="BP336" s="23"/>
      <c r="BQ336" s="23"/>
      <c r="BR336" s="24"/>
      <c r="BS336" s="24"/>
      <c r="BT336" s="68"/>
      <c r="BU336" s="68"/>
      <c r="BV336" s="25"/>
      <c r="BW336" s="26"/>
      <c r="BX336" s="27"/>
      <c r="BY336" s="28"/>
      <c r="BZ336" s="28"/>
      <c r="CA336" s="28"/>
      <c r="CB336" s="28"/>
      <c r="CC336" s="28"/>
      <c r="CD336" s="28"/>
      <c r="CE336" s="28"/>
      <c r="CF336" s="28"/>
      <c r="CG336" s="28"/>
      <c r="CH336" s="28"/>
      <c r="CI336" s="28"/>
      <c r="CJ336" s="28"/>
      <c r="CK336" s="28"/>
      <c r="CL336" s="28"/>
      <c r="CM336" s="28"/>
      <c r="CN336" s="28"/>
      <c r="CO336" s="28"/>
      <c r="CP336" s="28"/>
      <c r="CQ336" s="28"/>
      <c r="CR336" s="28"/>
      <c r="CS336" s="28"/>
      <c r="CT336" s="28"/>
      <c r="CU336" s="28"/>
      <c r="CV336" s="28"/>
      <c r="CW336" s="28"/>
      <c r="CX336" s="28"/>
      <c r="CY336" s="28"/>
      <c r="CZ336" s="28"/>
      <c r="DA336" s="28"/>
      <c r="DB336" s="28"/>
      <c r="DC336" s="28"/>
      <c r="DD336" s="28"/>
      <c r="DE336" s="28"/>
      <c r="DF336" s="28"/>
      <c r="DG336" s="28"/>
      <c r="DH336" s="28"/>
      <c r="DI336" s="28"/>
      <c r="DJ336" s="28"/>
      <c r="DK336" s="29"/>
      <c r="DL336" s="29"/>
      <c r="DM336" s="29"/>
      <c r="DN336" s="29"/>
      <c r="DO336" s="29"/>
      <c r="DP336" s="29"/>
      <c r="DQ336" s="29"/>
      <c r="DR336" s="29"/>
      <c r="DS336" s="22"/>
      <c r="DT336" s="22"/>
      <c r="DU336" s="22"/>
      <c r="DV336" s="22"/>
    </row>
    <row r="337" spans="61:126" x14ac:dyDescent="0.25">
      <c r="BI337" s="22"/>
      <c r="BJ337" s="22"/>
      <c r="BK337" s="22"/>
      <c r="BL337" s="22"/>
      <c r="BM337" s="66"/>
      <c r="BN337" s="66"/>
      <c r="BO337" s="23"/>
      <c r="BP337" s="23"/>
      <c r="BQ337" s="23"/>
      <c r="BR337" s="24"/>
      <c r="BS337" s="24"/>
      <c r="BT337" s="68"/>
      <c r="BU337" s="68"/>
      <c r="BV337" s="25"/>
      <c r="BW337" s="26"/>
      <c r="BX337" s="27"/>
      <c r="BY337" s="28"/>
      <c r="BZ337" s="28"/>
      <c r="CA337" s="28"/>
      <c r="CB337" s="28"/>
      <c r="CC337" s="28"/>
      <c r="CD337" s="28"/>
      <c r="CE337" s="28"/>
      <c r="CF337" s="28"/>
      <c r="CG337" s="28"/>
      <c r="CH337" s="28"/>
      <c r="CI337" s="28"/>
      <c r="CJ337" s="28"/>
      <c r="CK337" s="28"/>
      <c r="CL337" s="28"/>
      <c r="CM337" s="28"/>
      <c r="CN337" s="28"/>
      <c r="CO337" s="28"/>
      <c r="CP337" s="28"/>
      <c r="CQ337" s="28"/>
      <c r="CR337" s="28"/>
      <c r="CS337" s="28"/>
      <c r="CT337" s="28"/>
      <c r="CU337" s="28"/>
      <c r="CV337" s="28"/>
      <c r="CW337" s="28"/>
      <c r="CX337" s="28"/>
      <c r="CY337" s="28"/>
      <c r="CZ337" s="28"/>
      <c r="DA337" s="28"/>
      <c r="DB337" s="28"/>
      <c r="DC337" s="28"/>
      <c r="DD337" s="28"/>
      <c r="DE337" s="28"/>
      <c r="DF337" s="28"/>
      <c r="DG337" s="28"/>
      <c r="DH337" s="28"/>
      <c r="DI337" s="28"/>
      <c r="DJ337" s="28"/>
      <c r="DK337" s="29"/>
      <c r="DL337" s="29"/>
      <c r="DM337" s="29"/>
      <c r="DN337" s="29"/>
      <c r="DO337" s="29"/>
      <c r="DP337" s="29"/>
      <c r="DQ337" s="29"/>
      <c r="DR337" s="29"/>
      <c r="DS337" s="22"/>
      <c r="DT337" s="22"/>
      <c r="DU337" s="22"/>
      <c r="DV337" s="22"/>
    </row>
    <row r="338" spans="61:126" x14ac:dyDescent="0.25">
      <c r="BI338" s="22"/>
      <c r="BJ338" s="22"/>
      <c r="BK338" s="22"/>
      <c r="BL338" s="22"/>
      <c r="BM338" s="66"/>
      <c r="BN338" s="66"/>
      <c r="BO338" s="23"/>
      <c r="BP338" s="23"/>
      <c r="BQ338" s="23"/>
      <c r="BR338" s="24"/>
      <c r="BS338" s="24"/>
      <c r="BT338" s="68"/>
      <c r="BU338" s="68"/>
      <c r="BV338" s="25"/>
      <c r="BW338" s="26"/>
      <c r="BX338" s="27"/>
      <c r="BY338" s="28"/>
      <c r="BZ338" s="28"/>
      <c r="CA338" s="28"/>
      <c r="CB338" s="28"/>
      <c r="CC338" s="28"/>
      <c r="CD338" s="28"/>
      <c r="CE338" s="28"/>
      <c r="CF338" s="28"/>
      <c r="CG338" s="28"/>
      <c r="CH338" s="28"/>
      <c r="CI338" s="28"/>
      <c r="CJ338" s="28"/>
      <c r="CK338" s="28"/>
      <c r="CL338" s="28"/>
      <c r="CM338" s="28"/>
      <c r="CN338" s="28"/>
      <c r="CO338" s="28"/>
      <c r="CP338" s="28"/>
      <c r="CQ338" s="28"/>
      <c r="CR338" s="28"/>
      <c r="CS338" s="28"/>
      <c r="CT338" s="28"/>
      <c r="CU338" s="28"/>
      <c r="CV338" s="28"/>
      <c r="CW338" s="28"/>
      <c r="CX338" s="28"/>
      <c r="CY338" s="28"/>
      <c r="CZ338" s="28"/>
      <c r="DA338" s="28"/>
      <c r="DB338" s="28"/>
      <c r="DC338" s="28"/>
      <c r="DD338" s="28"/>
      <c r="DE338" s="28"/>
      <c r="DF338" s="28"/>
      <c r="DG338" s="28"/>
      <c r="DH338" s="28"/>
      <c r="DI338" s="28"/>
      <c r="DJ338" s="28"/>
      <c r="DK338" s="29"/>
      <c r="DL338" s="29"/>
      <c r="DM338" s="29"/>
      <c r="DN338" s="29"/>
      <c r="DO338" s="29"/>
      <c r="DP338" s="29"/>
      <c r="DQ338" s="29"/>
      <c r="DR338" s="29"/>
      <c r="DS338" s="22"/>
      <c r="DT338" s="22"/>
      <c r="DU338" s="22"/>
      <c r="DV338" s="22"/>
    </row>
    <row r="339" spans="61:126" x14ac:dyDescent="0.25">
      <c r="BI339" s="22"/>
      <c r="BJ339" s="22"/>
      <c r="BK339" s="22"/>
      <c r="BL339" s="22"/>
      <c r="BM339" s="66"/>
      <c r="BN339" s="66"/>
      <c r="BO339" s="23"/>
      <c r="BP339" s="23"/>
      <c r="BQ339" s="23"/>
      <c r="BR339" s="24"/>
      <c r="BS339" s="24"/>
      <c r="BT339" s="68"/>
      <c r="BU339" s="68"/>
      <c r="BV339" s="25"/>
      <c r="BW339" s="26"/>
      <c r="BX339" s="27"/>
      <c r="BY339" s="28"/>
      <c r="BZ339" s="28"/>
      <c r="CA339" s="28"/>
      <c r="CB339" s="28"/>
      <c r="CC339" s="28"/>
      <c r="CD339" s="28"/>
      <c r="CE339" s="28"/>
      <c r="CF339" s="28"/>
      <c r="CG339" s="28"/>
      <c r="CH339" s="28"/>
      <c r="CI339" s="28"/>
      <c r="CJ339" s="28"/>
      <c r="CK339" s="28"/>
      <c r="CL339" s="28"/>
      <c r="CM339" s="28"/>
      <c r="CN339" s="28"/>
      <c r="CO339" s="28"/>
      <c r="CP339" s="28"/>
      <c r="CQ339" s="28"/>
      <c r="CR339" s="28"/>
      <c r="CS339" s="28"/>
      <c r="CT339" s="28"/>
      <c r="CU339" s="28"/>
      <c r="CV339" s="28"/>
      <c r="CW339" s="28"/>
      <c r="CX339" s="28"/>
      <c r="CY339" s="28"/>
      <c r="CZ339" s="28"/>
      <c r="DA339" s="28"/>
      <c r="DB339" s="28"/>
      <c r="DC339" s="28"/>
      <c r="DD339" s="28"/>
      <c r="DE339" s="28"/>
      <c r="DF339" s="28"/>
      <c r="DG339" s="28"/>
      <c r="DH339" s="28"/>
      <c r="DI339" s="28"/>
      <c r="DJ339" s="28"/>
      <c r="DK339" s="29"/>
      <c r="DL339" s="29"/>
      <c r="DM339" s="29"/>
      <c r="DN339" s="29"/>
      <c r="DO339" s="29"/>
      <c r="DP339" s="29"/>
      <c r="DQ339" s="29"/>
      <c r="DR339" s="29"/>
      <c r="DS339" s="22"/>
      <c r="DT339" s="22"/>
      <c r="DU339" s="22"/>
      <c r="DV339" s="22"/>
    </row>
    <row r="340" spans="61:126" x14ac:dyDescent="0.25">
      <c r="BI340" s="22"/>
      <c r="BJ340" s="22"/>
      <c r="BK340" s="22"/>
      <c r="BL340" s="22"/>
      <c r="BM340" s="66"/>
      <c r="BN340" s="66"/>
      <c r="BO340" s="23"/>
      <c r="BP340" s="23"/>
      <c r="BQ340" s="23"/>
      <c r="BR340" s="24"/>
      <c r="BS340" s="24"/>
      <c r="BT340" s="68"/>
      <c r="BU340" s="68"/>
      <c r="BV340" s="25"/>
      <c r="BW340" s="26"/>
      <c r="BX340" s="27"/>
      <c r="BY340" s="28"/>
      <c r="BZ340" s="28"/>
      <c r="CA340" s="28"/>
      <c r="CB340" s="28"/>
      <c r="CC340" s="28"/>
      <c r="CD340" s="28"/>
      <c r="CE340" s="28"/>
      <c r="CF340" s="28"/>
      <c r="CG340" s="28"/>
      <c r="CH340" s="28"/>
      <c r="CI340" s="28"/>
      <c r="CJ340" s="28"/>
      <c r="CK340" s="28"/>
      <c r="CL340" s="28"/>
      <c r="CM340" s="28"/>
      <c r="CN340" s="28"/>
      <c r="CO340" s="28"/>
      <c r="CP340" s="28"/>
      <c r="CQ340" s="28"/>
      <c r="CR340" s="28"/>
      <c r="CS340" s="28"/>
      <c r="CT340" s="28"/>
      <c r="CU340" s="28"/>
      <c r="CV340" s="28"/>
      <c r="CW340" s="28"/>
      <c r="CX340" s="28"/>
      <c r="CY340" s="28"/>
      <c r="CZ340" s="28"/>
      <c r="DA340" s="28"/>
      <c r="DB340" s="28"/>
      <c r="DC340" s="28"/>
      <c r="DD340" s="28"/>
      <c r="DE340" s="28"/>
      <c r="DF340" s="28"/>
      <c r="DG340" s="28"/>
      <c r="DH340" s="28"/>
      <c r="DI340" s="28"/>
      <c r="DJ340" s="28"/>
      <c r="DK340" s="29"/>
      <c r="DL340" s="29"/>
      <c r="DM340" s="29"/>
      <c r="DN340" s="29"/>
      <c r="DO340" s="29"/>
      <c r="DP340" s="29"/>
      <c r="DQ340" s="29"/>
      <c r="DR340" s="29"/>
      <c r="DS340" s="22"/>
      <c r="DT340" s="22"/>
      <c r="DU340" s="22"/>
      <c r="DV340" s="22"/>
    </row>
    <row r="341" spans="61:126" x14ac:dyDescent="0.25">
      <c r="BI341" s="22"/>
      <c r="BJ341" s="22"/>
      <c r="BK341" s="22"/>
      <c r="BL341" s="22"/>
      <c r="BM341" s="66"/>
      <c r="BN341" s="66"/>
      <c r="BO341" s="23"/>
      <c r="BP341" s="23"/>
      <c r="BQ341" s="23"/>
      <c r="BR341" s="24"/>
      <c r="BS341" s="24"/>
      <c r="BT341" s="68"/>
      <c r="BU341" s="68"/>
      <c r="BV341" s="25"/>
      <c r="BW341" s="26"/>
      <c r="BX341" s="27"/>
      <c r="BY341" s="28"/>
      <c r="BZ341" s="28"/>
      <c r="CA341" s="28"/>
      <c r="CB341" s="28"/>
      <c r="CC341" s="28"/>
      <c r="CD341" s="28"/>
      <c r="CE341" s="28"/>
      <c r="CF341" s="28"/>
      <c r="CG341" s="28"/>
      <c r="CH341" s="28"/>
      <c r="CI341" s="28"/>
      <c r="CJ341" s="28"/>
      <c r="CK341" s="28"/>
      <c r="CL341" s="28"/>
      <c r="CM341" s="28"/>
      <c r="CN341" s="28"/>
      <c r="CO341" s="28"/>
      <c r="CP341" s="28"/>
      <c r="CQ341" s="28"/>
      <c r="CR341" s="28"/>
      <c r="CS341" s="28"/>
      <c r="CT341" s="28"/>
      <c r="CU341" s="28"/>
      <c r="CV341" s="28"/>
      <c r="CW341" s="28"/>
      <c r="CX341" s="28"/>
      <c r="CY341" s="28"/>
      <c r="CZ341" s="28"/>
      <c r="DA341" s="28"/>
      <c r="DB341" s="28"/>
      <c r="DC341" s="28"/>
      <c r="DD341" s="28"/>
      <c r="DE341" s="28"/>
      <c r="DF341" s="28"/>
      <c r="DG341" s="28"/>
      <c r="DH341" s="28"/>
      <c r="DI341" s="28"/>
      <c r="DJ341" s="28"/>
      <c r="DK341" s="29"/>
      <c r="DL341" s="29"/>
      <c r="DM341" s="29"/>
      <c r="DN341" s="29"/>
      <c r="DO341" s="29"/>
      <c r="DP341" s="29"/>
      <c r="DQ341" s="29"/>
      <c r="DR341" s="29"/>
      <c r="DS341" s="22"/>
      <c r="DT341" s="22"/>
      <c r="DU341" s="22"/>
      <c r="DV341" s="22"/>
    </row>
    <row r="342" spans="61:126" x14ac:dyDescent="0.25">
      <c r="BI342" s="22"/>
      <c r="BJ342" s="22"/>
      <c r="BK342" s="22"/>
      <c r="BL342" s="22"/>
      <c r="BM342" s="66"/>
      <c r="BN342" s="66"/>
      <c r="BO342" s="23"/>
      <c r="BP342" s="23"/>
      <c r="BQ342" s="23"/>
      <c r="BR342" s="24"/>
      <c r="BS342" s="24"/>
      <c r="BT342" s="68"/>
      <c r="BU342" s="68"/>
      <c r="BV342" s="25"/>
      <c r="BW342" s="26"/>
      <c r="BX342" s="27"/>
      <c r="BY342" s="28"/>
      <c r="BZ342" s="28"/>
      <c r="CA342" s="28"/>
      <c r="CB342" s="28"/>
      <c r="CC342" s="28"/>
      <c r="CD342" s="28"/>
      <c r="CE342" s="28"/>
      <c r="CF342" s="28"/>
      <c r="CG342" s="28"/>
      <c r="CH342" s="28"/>
      <c r="CI342" s="28"/>
      <c r="CJ342" s="28"/>
      <c r="CK342" s="28"/>
      <c r="CL342" s="28"/>
      <c r="CM342" s="28"/>
      <c r="CN342" s="28"/>
      <c r="CO342" s="28"/>
      <c r="CP342" s="28"/>
      <c r="CQ342" s="28"/>
      <c r="CR342" s="28"/>
      <c r="CS342" s="28"/>
      <c r="CT342" s="28"/>
      <c r="CU342" s="28"/>
      <c r="CV342" s="28"/>
      <c r="CW342" s="28"/>
      <c r="CX342" s="28"/>
      <c r="CY342" s="28"/>
      <c r="CZ342" s="28"/>
      <c r="DA342" s="28"/>
      <c r="DB342" s="28"/>
      <c r="DC342" s="28"/>
      <c r="DD342" s="28"/>
      <c r="DE342" s="28"/>
      <c r="DF342" s="28"/>
      <c r="DG342" s="28"/>
      <c r="DH342" s="28"/>
      <c r="DI342" s="28"/>
      <c r="DJ342" s="28"/>
      <c r="DK342" s="29"/>
      <c r="DL342" s="29"/>
      <c r="DM342" s="29"/>
      <c r="DN342" s="29"/>
      <c r="DO342" s="29"/>
      <c r="DP342" s="29"/>
      <c r="DQ342" s="29"/>
      <c r="DR342" s="29"/>
      <c r="DS342" s="22"/>
      <c r="DT342" s="22"/>
      <c r="DU342" s="22"/>
      <c r="DV342" s="22"/>
    </row>
    <row r="343" spans="61:126" x14ac:dyDescent="0.25">
      <c r="BI343" s="22"/>
      <c r="BJ343" s="22"/>
      <c r="BK343" s="22"/>
      <c r="BL343" s="22"/>
      <c r="BM343" s="66"/>
      <c r="BN343" s="66"/>
      <c r="BO343" s="23"/>
      <c r="BP343" s="23"/>
      <c r="BQ343" s="23"/>
      <c r="BR343" s="24"/>
      <c r="BS343" s="24"/>
      <c r="BT343" s="68"/>
      <c r="BU343" s="68"/>
      <c r="BV343" s="25"/>
      <c r="BW343" s="26"/>
      <c r="BX343" s="27"/>
      <c r="BY343" s="28"/>
      <c r="BZ343" s="28"/>
      <c r="CA343" s="28"/>
      <c r="CB343" s="28"/>
      <c r="CC343" s="28"/>
      <c r="CD343" s="28"/>
      <c r="CE343" s="28"/>
      <c r="CF343" s="28"/>
      <c r="CG343" s="28"/>
      <c r="CH343" s="28"/>
      <c r="CI343" s="28"/>
      <c r="CJ343" s="28"/>
      <c r="CK343" s="28"/>
      <c r="CL343" s="28"/>
      <c r="CM343" s="28"/>
      <c r="CN343" s="28"/>
      <c r="CO343" s="28"/>
      <c r="CP343" s="28"/>
      <c r="CQ343" s="28"/>
      <c r="CR343" s="28"/>
      <c r="CS343" s="28"/>
      <c r="CT343" s="28"/>
      <c r="CU343" s="28"/>
      <c r="CV343" s="28"/>
      <c r="CW343" s="28"/>
      <c r="CX343" s="28"/>
      <c r="CY343" s="28"/>
      <c r="CZ343" s="28"/>
      <c r="DA343" s="28"/>
      <c r="DB343" s="28"/>
      <c r="DC343" s="28"/>
      <c r="DD343" s="28"/>
      <c r="DE343" s="28"/>
      <c r="DF343" s="28"/>
      <c r="DG343" s="28"/>
      <c r="DH343" s="28"/>
      <c r="DI343" s="28"/>
      <c r="DJ343" s="28"/>
      <c r="DK343" s="29"/>
      <c r="DL343" s="29"/>
      <c r="DM343" s="29"/>
      <c r="DN343" s="29"/>
      <c r="DO343" s="29"/>
      <c r="DP343" s="29"/>
      <c r="DQ343" s="29"/>
      <c r="DR343" s="29"/>
      <c r="DS343" s="22"/>
      <c r="DT343" s="22"/>
      <c r="DU343" s="22"/>
      <c r="DV343" s="22"/>
    </row>
    <row r="344" spans="61:126" x14ac:dyDescent="0.25">
      <c r="BI344" s="22"/>
      <c r="BJ344" s="22"/>
      <c r="BK344" s="22"/>
      <c r="BL344" s="22"/>
      <c r="BM344" s="66"/>
      <c r="BN344" s="66"/>
      <c r="BO344" s="23"/>
      <c r="BP344" s="23"/>
      <c r="BQ344" s="23"/>
      <c r="BR344" s="24"/>
      <c r="BS344" s="24"/>
      <c r="BT344" s="68"/>
      <c r="BU344" s="68"/>
      <c r="BV344" s="25"/>
      <c r="BW344" s="26"/>
      <c r="BX344" s="27"/>
      <c r="BY344" s="28"/>
      <c r="BZ344" s="28"/>
      <c r="CA344" s="28"/>
      <c r="CB344" s="28"/>
      <c r="CC344" s="28"/>
      <c r="CD344" s="28"/>
      <c r="CE344" s="28"/>
      <c r="CF344" s="28"/>
      <c r="CG344" s="28"/>
      <c r="CH344" s="28"/>
      <c r="CI344" s="28"/>
      <c r="CJ344" s="28"/>
      <c r="CK344" s="28"/>
      <c r="CL344" s="28"/>
      <c r="CM344" s="28"/>
      <c r="CN344" s="28"/>
      <c r="CO344" s="28"/>
      <c r="CP344" s="28"/>
      <c r="CQ344" s="28"/>
      <c r="CR344" s="28"/>
      <c r="CS344" s="28"/>
      <c r="CT344" s="28"/>
      <c r="CU344" s="28"/>
      <c r="CV344" s="28"/>
      <c r="CW344" s="28"/>
      <c r="CX344" s="28"/>
      <c r="CY344" s="28"/>
      <c r="CZ344" s="28"/>
      <c r="DA344" s="28"/>
      <c r="DB344" s="28"/>
      <c r="DC344" s="28"/>
      <c r="DD344" s="28"/>
      <c r="DE344" s="28"/>
      <c r="DF344" s="28"/>
      <c r="DG344" s="28"/>
      <c r="DH344" s="28"/>
      <c r="DI344" s="28"/>
      <c r="DJ344" s="28"/>
      <c r="DK344" s="29"/>
      <c r="DL344" s="29"/>
      <c r="DM344" s="29"/>
      <c r="DN344" s="29"/>
      <c r="DO344" s="29"/>
      <c r="DP344" s="29"/>
      <c r="DQ344" s="29"/>
      <c r="DR344" s="29"/>
      <c r="DS344" s="22"/>
      <c r="DT344" s="22"/>
      <c r="DU344" s="22"/>
      <c r="DV344" s="22"/>
    </row>
    <row r="345" spans="61:126" x14ac:dyDescent="0.25">
      <c r="BI345" s="22"/>
      <c r="BJ345" s="22"/>
      <c r="BK345" s="22"/>
      <c r="BL345" s="22"/>
      <c r="BM345" s="66"/>
      <c r="BN345" s="66"/>
      <c r="BO345" s="23"/>
      <c r="BP345" s="23"/>
      <c r="BQ345" s="23"/>
      <c r="BR345" s="24"/>
      <c r="BS345" s="24"/>
      <c r="BT345" s="68"/>
      <c r="BU345" s="68"/>
      <c r="BV345" s="25"/>
      <c r="BW345" s="26"/>
      <c r="BX345" s="27"/>
      <c r="BY345" s="28"/>
      <c r="BZ345" s="28"/>
      <c r="CA345" s="28"/>
      <c r="CB345" s="28"/>
      <c r="CC345" s="28"/>
      <c r="CD345" s="28"/>
      <c r="CE345" s="28"/>
      <c r="CF345" s="28"/>
      <c r="CG345" s="28"/>
      <c r="CH345" s="28"/>
      <c r="CI345" s="28"/>
      <c r="CJ345" s="28"/>
      <c r="CK345" s="28"/>
      <c r="CL345" s="28"/>
      <c r="CM345" s="28"/>
      <c r="CN345" s="28"/>
      <c r="CO345" s="28"/>
      <c r="CP345" s="28"/>
      <c r="CQ345" s="28"/>
      <c r="CR345" s="28"/>
      <c r="CS345" s="28"/>
      <c r="CT345" s="28"/>
      <c r="CU345" s="28"/>
      <c r="CV345" s="28"/>
      <c r="CW345" s="28"/>
      <c r="CX345" s="28"/>
      <c r="CY345" s="28"/>
      <c r="CZ345" s="28"/>
      <c r="DA345" s="28"/>
      <c r="DB345" s="28"/>
      <c r="DC345" s="28"/>
      <c r="DD345" s="28"/>
      <c r="DE345" s="28"/>
      <c r="DF345" s="28"/>
      <c r="DG345" s="28"/>
      <c r="DH345" s="28"/>
      <c r="DI345" s="28"/>
      <c r="DJ345" s="28"/>
      <c r="DK345" s="29"/>
      <c r="DL345" s="29"/>
      <c r="DM345" s="29"/>
      <c r="DN345" s="29"/>
      <c r="DO345" s="29"/>
      <c r="DP345" s="29"/>
      <c r="DQ345" s="29"/>
      <c r="DR345" s="29"/>
      <c r="DS345" s="22"/>
      <c r="DT345" s="22"/>
      <c r="DU345" s="22"/>
      <c r="DV345" s="22"/>
    </row>
    <row r="346" spans="61:126" x14ac:dyDescent="0.25">
      <c r="BI346" s="22"/>
      <c r="BJ346" s="22"/>
      <c r="BK346" s="22"/>
      <c r="BL346" s="22"/>
      <c r="BM346" s="66"/>
      <c r="BN346" s="66"/>
      <c r="BO346" s="23"/>
      <c r="BP346" s="23"/>
      <c r="BQ346" s="23"/>
      <c r="BR346" s="24"/>
      <c r="BS346" s="24"/>
      <c r="BT346" s="68"/>
      <c r="BU346" s="68"/>
      <c r="BV346" s="25"/>
      <c r="BW346" s="26"/>
      <c r="BX346" s="27"/>
      <c r="BY346" s="28"/>
      <c r="BZ346" s="28"/>
      <c r="CA346" s="28"/>
      <c r="CB346" s="28"/>
      <c r="CC346" s="28"/>
      <c r="CD346" s="28"/>
      <c r="CE346" s="28"/>
      <c r="CF346" s="28"/>
      <c r="CG346" s="28"/>
      <c r="CH346" s="28"/>
      <c r="CI346" s="28"/>
      <c r="CJ346" s="28"/>
      <c r="CK346" s="28"/>
      <c r="CL346" s="28"/>
      <c r="CM346" s="28"/>
      <c r="CN346" s="28"/>
      <c r="CO346" s="28"/>
      <c r="CP346" s="28"/>
      <c r="CQ346" s="28"/>
      <c r="CR346" s="28"/>
      <c r="CS346" s="28"/>
      <c r="CT346" s="28"/>
      <c r="CU346" s="28"/>
      <c r="CV346" s="28"/>
      <c r="CW346" s="28"/>
      <c r="CX346" s="28"/>
      <c r="CY346" s="28"/>
      <c r="CZ346" s="28"/>
      <c r="DA346" s="28"/>
      <c r="DB346" s="28"/>
      <c r="DC346" s="28"/>
      <c r="DD346" s="28"/>
      <c r="DE346" s="28"/>
      <c r="DF346" s="28"/>
      <c r="DG346" s="28"/>
      <c r="DH346" s="28"/>
      <c r="DI346" s="28"/>
      <c r="DJ346" s="28"/>
      <c r="DK346" s="29"/>
      <c r="DL346" s="29"/>
      <c r="DM346" s="29"/>
      <c r="DN346" s="29"/>
      <c r="DO346" s="29"/>
      <c r="DP346" s="29"/>
      <c r="DQ346" s="29"/>
      <c r="DR346" s="29"/>
      <c r="DS346" s="22"/>
      <c r="DT346" s="22"/>
      <c r="DU346" s="22"/>
      <c r="DV346" s="22"/>
    </row>
    <row r="347" spans="61:126" x14ac:dyDescent="0.25">
      <c r="BI347" s="22"/>
      <c r="BJ347" s="22"/>
      <c r="BK347" s="22"/>
      <c r="BL347" s="22"/>
      <c r="BM347" s="66"/>
      <c r="BN347" s="66"/>
      <c r="BO347" s="23"/>
      <c r="BP347" s="23"/>
      <c r="BQ347" s="23"/>
      <c r="BR347" s="24"/>
      <c r="BS347" s="24"/>
      <c r="BT347" s="68"/>
      <c r="BU347" s="68"/>
      <c r="BV347" s="25"/>
      <c r="BW347" s="26"/>
      <c r="BX347" s="27"/>
      <c r="BY347" s="28"/>
      <c r="BZ347" s="28"/>
      <c r="CA347" s="28"/>
      <c r="CB347" s="28"/>
      <c r="CC347" s="28"/>
      <c r="CD347" s="28"/>
      <c r="CE347" s="28"/>
      <c r="CF347" s="28"/>
      <c r="CG347" s="28"/>
      <c r="CH347" s="28"/>
      <c r="CI347" s="28"/>
      <c r="CJ347" s="28"/>
      <c r="CK347" s="28"/>
      <c r="CL347" s="28"/>
      <c r="CM347" s="28"/>
      <c r="CN347" s="28"/>
      <c r="CO347" s="28"/>
      <c r="CP347" s="28"/>
      <c r="CQ347" s="28"/>
      <c r="CR347" s="28"/>
      <c r="CS347" s="28"/>
      <c r="CT347" s="28"/>
      <c r="CU347" s="28"/>
      <c r="CV347" s="28"/>
      <c r="CW347" s="28"/>
      <c r="CX347" s="28"/>
      <c r="CY347" s="28"/>
      <c r="CZ347" s="28"/>
      <c r="DA347" s="28"/>
      <c r="DB347" s="28"/>
      <c r="DC347" s="28"/>
      <c r="DD347" s="28"/>
      <c r="DE347" s="28"/>
      <c r="DF347" s="28"/>
      <c r="DG347" s="28"/>
      <c r="DH347" s="28"/>
      <c r="DI347" s="28"/>
      <c r="DJ347" s="28"/>
      <c r="DK347" s="29"/>
      <c r="DL347" s="29"/>
      <c r="DM347" s="29"/>
      <c r="DN347" s="29"/>
      <c r="DO347" s="29"/>
      <c r="DP347" s="29"/>
      <c r="DQ347" s="29"/>
      <c r="DR347" s="29"/>
      <c r="DS347" s="22"/>
      <c r="DT347" s="22"/>
      <c r="DU347" s="22"/>
      <c r="DV347" s="22"/>
    </row>
    <row r="348" spans="61:126" x14ac:dyDescent="0.25">
      <c r="BI348" s="22"/>
      <c r="BJ348" s="22"/>
      <c r="BK348" s="22"/>
      <c r="BL348" s="22"/>
      <c r="BM348" s="66"/>
      <c r="BN348" s="66"/>
      <c r="BO348" s="23"/>
      <c r="BP348" s="23"/>
      <c r="BQ348" s="23"/>
      <c r="BR348" s="24"/>
      <c r="BS348" s="24"/>
      <c r="BT348" s="68"/>
      <c r="BU348" s="68"/>
      <c r="BV348" s="25"/>
      <c r="BW348" s="26"/>
      <c r="BX348" s="27"/>
      <c r="BY348" s="28"/>
      <c r="BZ348" s="28"/>
      <c r="CA348" s="28"/>
      <c r="CB348" s="28"/>
      <c r="CC348" s="28"/>
      <c r="CD348" s="28"/>
      <c r="CE348" s="28"/>
      <c r="CF348" s="28"/>
      <c r="CG348" s="28"/>
      <c r="CH348" s="28"/>
      <c r="CI348" s="28"/>
      <c r="CJ348" s="28"/>
      <c r="CK348" s="28"/>
      <c r="CL348" s="28"/>
      <c r="CM348" s="28"/>
      <c r="CN348" s="28"/>
      <c r="CO348" s="28"/>
      <c r="CP348" s="28"/>
      <c r="CQ348" s="28"/>
      <c r="CR348" s="28"/>
      <c r="CS348" s="28"/>
      <c r="CT348" s="28"/>
      <c r="CU348" s="28"/>
      <c r="CV348" s="28"/>
      <c r="CW348" s="28"/>
      <c r="CX348" s="28"/>
      <c r="CY348" s="28"/>
      <c r="CZ348" s="28"/>
      <c r="DA348" s="28"/>
      <c r="DB348" s="28"/>
      <c r="DC348" s="28"/>
      <c r="DD348" s="28"/>
      <c r="DE348" s="28"/>
      <c r="DF348" s="28"/>
      <c r="DG348" s="28"/>
      <c r="DH348" s="28"/>
      <c r="DI348" s="28"/>
      <c r="DJ348" s="28"/>
      <c r="DK348" s="29"/>
      <c r="DL348" s="29"/>
      <c r="DM348" s="29"/>
      <c r="DN348" s="29"/>
      <c r="DO348" s="29"/>
      <c r="DP348" s="29"/>
      <c r="DQ348" s="29"/>
      <c r="DR348" s="29"/>
      <c r="DS348" s="22"/>
      <c r="DT348" s="22"/>
      <c r="DU348" s="22"/>
      <c r="DV348" s="22"/>
    </row>
    <row r="349" spans="61:126" x14ac:dyDescent="0.25">
      <c r="BI349" s="22"/>
      <c r="BJ349" s="22"/>
      <c r="BK349" s="22"/>
      <c r="BL349" s="22"/>
      <c r="BM349" s="66"/>
      <c r="BN349" s="66"/>
      <c r="BO349" s="23"/>
      <c r="BP349" s="23"/>
      <c r="BQ349" s="23"/>
      <c r="BR349" s="24"/>
      <c r="BS349" s="24"/>
      <c r="BT349" s="68"/>
      <c r="BU349" s="68"/>
      <c r="BV349" s="25"/>
      <c r="BW349" s="26"/>
      <c r="BX349" s="27"/>
      <c r="BY349" s="28"/>
      <c r="BZ349" s="28"/>
      <c r="CA349" s="28"/>
      <c r="CB349" s="28"/>
      <c r="CC349" s="28"/>
      <c r="CD349" s="28"/>
      <c r="CE349" s="28"/>
      <c r="CF349" s="28"/>
      <c r="CG349" s="28"/>
      <c r="CH349" s="28"/>
      <c r="CI349" s="28"/>
      <c r="CJ349" s="28"/>
      <c r="CK349" s="28"/>
      <c r="CL349" s="28"/>
      <c r="CM349" s="28"/>
      <c r="CN349" s="28"/>
      <c r="CO349" s="28"/>
      <c r="CP349" s="28"/>
      <c r="CQ349" s="28"/>
      <c r="CR349" s="28"/>
      <c r="CS349" s="28"/>
      <c r="CT349" s="28"/>
      <c r="CU349" s="28"/>
      <c r="CV349" s="28"/>
      <c r="CW349" s="28"/>
      <c r="CX349" s="28"/>
      <c r="CY349" s="28"/>
      <c r="CZ349" s="28"/>
      <c r="DA349" s="28"/>
      <c r="DB349" s="28"/>
      <c r="DC349" s="28"/>
      <c r="DD349" s="28"/>
      <c r="DE349" s="28"/>
      <c r="DF349" s="28"/>
      <c r="DG349" s="28"/>
      <c r="DH349" s="28"/>
      <c r="DI349" s="28"/>
      <c r="DJ349" s="28"/>
      <c r="DK349" s="29"/>
      <c r="DL349" s="29"/>
      <c r="DM349" s="29"/>
      <c r="DN349" s="29"/>
      <c r="DO349" s="29"/>
      <c r="DP349" s="29"/>
      <c r="DQ349" s="29"/>
      <c r="DR349" s="29"/>
      <c r="DS349" s="22"/>
      <c r="DT349" s="22"/>
      <c r="DU349" s="22"/>
      <c r="DV349" s="22"/>
    </row>
    <row r="350" spans="61:126" x14ac:dyDescent="0.25">
      <c r="BI350" s="22"/>
      <c r="BJ350" s="22"/>
      <c r="BK350" s="22"/>
      <c r="BL350" s="22"/>
      <c r="BM350" s="66"/>
      <c r="BN350" s="66"/>
      <c r="BO350" s="23"/>
      <c r="BP350" s="23"/>
      <c r="BQ350" s="23"/>
      <c r="BR350" s="24"/>
      <c r="BS350" s="24"/>
      <c r="BT350" s="68"/>
      <c r="BU350" s="68"/>
      <c r="BV350" s="25"/>
      <c r="BW350" s="26"/>
      <c r="BX350" s="27"/>
      <c r="BY350" s="28"/>
      <c r="BZ350" s="28"/>
      <c r="CA350" s="28"/>
      <c r="CB350" s="28"/>
      <c r="CC350" s="28"/>
      <c r="CD350" s="28"/>
      <c r="CE350" s="28"/>
      <c r="CF350" s="28"/>
      <c r="CG350" s="28"/>
      <c r="CH350" s="28"/>
      <c r="CI350" s="28"/>
      <c r="CJ350" s="28"/>
      <c r="CK350" s="28"/>
      <c r="CL350" s="28"/>
      <c r="CM350" s="28"/>
      <c r="CN350" s="28"/>
      <c r="CO350" s="28"/>
      <c r="CP350" s="28"/>
      <c r="CQ350" s="28"/>
      <c r="CR350" s="28"/>
      <c r="CS350" s="28"/>
      <c r="CT350" s="28"/>
      <c r="CU350" s="28"/>
      <c r="CV350" s="28"/>
      <c r="CW350" s="28"/>
      <c r="CX350" s="28"/>
      <c r="CY350" s="28"/>
      <c r="CZ350" s="28"/>
      <c r="DA350" s="28"/>
      <c r="DB350" s="28"/>
      <c r="DC350" s="28"/>
      <c r="DD350" s="28"/>
      <c r="DE350" s="28"/>
      <c r="DF350" s="28"/>
      <c r="DG350" s="28"/>
      <c r="DH350" s="28"/>
      <c r="DI350" s="28"/>
      <c r="DJ350" s="28"/>
      <c r="DK350" s="29"/>
      <c r="DL350" s="29"/>
      <c r="DM350" s="29"/>
      <c r="DN350" s="29"/>
      <c r="DO350" s="29"/>
      <c r="DP350" s="29"/>
      <c r="DQ350" s="29"/>
      <c r="DR350" s="29"/>
      <c r="DS350" s="22"/>
      <c r="DT350" s="22"/>
      <c r="DU350" s="22"/>
      <c r="DV350" s="22"/>
    </row>
    <row r="351" spans="61:126" x14ac:dyDescent="0.25">
      <c r="BI351" s="22"/>
      <c r="BJ351" s="22"/>
      <c r="BK351" s="22"/>
      <c r="BL351" s="22"/>
      <c r="BM351" s="66"/>
      <c r="BN351" s="66"/>
      <c r="BO351" s="23"/>
      <c r="BP351" s="23"/>
      <c r="BQ351" s="23"/>
      <c r="BR351" s="24"/>
      <c r="BS351" s="24"/>
      <c r="BT351" s="68"/>
      <c r="BU351" s="68"/>
      <c r="BV351" s="25"/>
      <c r="BW351" s="26"/>
      <c r="BX351" s="27"/>
      <c r="BY351" s="28"/>
      <c r="BZ351" s="28"/>
      <c r="CA351" s="28"/>
      <c r="CB351" s="28"/>
      <c r="CC351" s="28"/>
      <c r="CD351" s="28"/>
      <c r="CE351" s="28"/>
      <c r="CF351" s="28"/>
      <c r="CG351" s="28"/>
      <c r="CH351" s="28"/>
      <c r="CI351" s="28"/>
      <c r="CJ351" s="28"/>
      <c r="CK351" s="28"/>
      <c r="CL351" s="28"/>
      <c r="CM351" s="28"/>
      <c r="CN351" s="28"/>
      <c r="CO351" s="28"/>
      <c r="CP351" s="28"/>
      <c r="CQ351" s="28"/>
      <c r="CR351" s="28"/>
      <c r="CS351" s="28"/>
      <c r="CT351" s="28"/>
      <c r="CU351" s="28"/>
      <c r="CV351" s="28"/>
      <c r="CW351" s="28"/>
      <c r="CX351" s="28"/>
      <c r="CY351" s="28"/>
      <c r="CZ351" s="28"/>
      <c r="DA351" s="28"/>
      <c r="DB351" s="28"/>
      <c r="DC351" s="28"/>
      <c r="DD351" s="28"/>
      <c r="DE351" s="28"/>
      <c r="DF351" s="28"/>
      <c r="DG351" s="28"/>
      <c r="DH351" s="28"/>
      <c r="DI351" s="28"/>
      <c r="DJ351" s="28"/>
      <c r="DK351" s="29"/>
      <c r="DL351" s="29"/>
      <c r="DM351" s="29"/>
      <c r="DN351" s="29"/>
      <c r="DO351" s="29"/>
      <c r="DP351" s="29"/>
      <c r="DQ351" s="29"/>
      <c r="DR351" s="29"/>
      <c r="DS351" s="22"/>
      <c r="DT351" s="22"/>
      <c r="DU351" s="22"/>
      <c r="DV351" s="22"/>
    </row>
    <row r="352" spans="61:126" x14ac:dyDescent="0.25">
      <c r="BI352" s="22"/>
      <c r="BJ352" s="22"/>
      <c r="BK352" s="22"/>
      <c r="BL352" s="22"/>
      <c r="BM352" s="66"/>
      <c r="BN352" s="66"/>
      <c r="BO352" s="23"/>
      <c r="BP352" s="23"/>
      <c r="BQ352" s="23"/>
      <c r="BR352" s="24"/>
      <c r="BS352" s="24"/>
      <c r="BT352" s="68"/>
      <c r="BU352" s="68"/>
      <c r="BV352" s="25"/>
      <c r="BW352" s="26"/>
      <c r="BX352" s="27"/>
      <c r="BY352" s="28"/>
      <c r="BZ352" s="28"/>
      <c r="CA352" s="28"/>
      <c r="CB352" s="28"/>
      <c r="CC352" s="28"/>
      <c r="CD352" s="28"/>
      <c r="CE352" s="28"/>
      <c r="CF352" s="28"/>
      <c r="CG352" s="28"/>
      <c r="CH352" s="28"/>
      <c r="CI352" s="28"/>
      <c r="CJ352" s="28"/>
      <c r="CK352" s="28"/>
      <c r="CL352" s="28"/>
      <c r="CM352" s="28"/>
      <c r="CN352" s="28"/>
      <c r="CO352" s="28"/>
      <c r="CP352" s="28"/>
      <c r="CQ352" s="28"/>
      <c r="CR352" s="28"/>
      <c r="CS352" s="28"/>
      <c r="CT352" s="28"/>
      <c r="CU352" s="28"/>
      <c r="CV352" s="28"/>
      <c r="CW352" s="28"/>
      <c r="CX352" s="28"/>
      <c r="CY352" s="28"/>
      <c r="CZ352" s="28"/>
      <c r="DA352" s="28"/>
      <c r="DB352" s="28"/>
      <c r="DC352" s="28"/>
      <c r="DD352" s="28"/>
      <c r="DE352" s="28"/>
      <c r="DF352" s="28"/>
      <c r="DG352" s="28"/>
      <c r="DH352" s="28"/>
      <c r="DI352" s="28"/>
      <c r="DJ352" s="28"/>
      <c r="DK352" s="29"/>
      <c r="DL352" s="29"/>
      <c r="DM352" s="29"/>
      <c r="DN352" s="29"/>
      <c r="DO352" s="29"/>
      <c r="DP352" s="29"/>
      <c r="DQ352" s="29"/>
      <c r="DR352" s="29"/>
      <c r="DS352" s="22"/>
      <c r="DT352" s="22"/>
      <c r="DU352" s="22"/>
      <c r="DV352" s="22"/>
    </row>
    <row r="353" spans="61:126" x14ac:dyDescent="0.25">
      <c r="BI353" s="22"/>
      <c r="BJ353" s="22"/>
      <c r="BK353" s="22"/>
      <c r="BL353" s="22"/>
      <c r="BM353" s="66"/>
      <c r="BN353" s="66"/>
      <c r="BO353" s="23"/>
      <c r="BP353" s="23"/>
      <c r="BQ353" s="23"/>
      <c r="BR353" s="24"/>
      <c r="BS353" s="24"/>
      <c r="BT353" s="68"/>
      <c r="BU353" s="68"/>
      <c r="BV353" s="25"/>
      <c r="BW353" s="26"/>
      <c r="BX353" s="27"/>
      <c r="BY353" s="28"/>
      <c r="BZ353" s="28"/>
      <c r="CA353" s="28"/>
      <c r="CB353" s="28"/>
      <c r="CC353" s="28"/>
      <c r="CD353" s="28"/>
      <c r="CE353" s="28"/>
      <c r="CF353" s="28"/>
      <c r="CG353" s="28"/>
      <c r="CH353" s="28"/>
      <c r="CI353" s="28"/>
      <c r="CJ353" s="28"/>
      <c r="CK353" s="28"/>
      <c r="CL353" s="28"/>
      <c r="CM353" s="28"/>
      <c r="CN353" s="28"/>
      <c r="CO353" s="28"/>
      <c r="CP353" s="28"/>
      <c r="CQ353" s="28"/>
      <c r="CR353" s="28"/>
      <c r="CS353" s="28"/>
      <c r="CT353" s="28"/>
      <c r="CU353" s="28"/>
      <c r="CV353" s="28"/>
      <c r="CW353" s="28"/>
      <c r="CX353" s="28"/>
      <c r="CY353" s="28"/>
      <c r="CZ353" s="28"/>
      <c r="DA353" s="28"/>
      <c r="DB353" s="28"/>
      <c r="DC353" s="28"/>
      <c r="DD353" s="28"/>
      <c r="DE353" s="28"/>
      <c r="DF353" s="28"/>
      <c r="DG353" s="28"/>
      <c r="DH353" s="28"/>
      <c r="DI353" s="28"/>
      <c r="DJ353" s="28"/>
      <c r="DK353" s="29"/>
      <c r="DL353" s="29"/>
      <c r="DM353" s="29"/>
      <c r="DN353" s="29"/>
      <c r="DO353" s="29"/>
      <c r="DP353" s="29"/>
      <c r="DQ353" s="29"/>
      <c r="DR353" s="29"/>
      <c r="DS353" s="22"/>
      <c r="DT353" s="22"/>
      <c r="DU353" s="22"/>
      <c r="DV353" s="22"/>
    </row>
    <row r="354" spans="61:126" x14ac:dyDescent="0.25">
      <c r="BI354" s="22"/>
      <c r="BJ354" s="22"/>
      <c r="BK354" s="22"/>
      <c r="BL354" s="22"/>
      <c r="BM354" s="66"/>
      <c r="BN354" s="66"/>
      <c r="BO354" s="23"/>
      <c r="BP354" s="23"/>
      <c r="BQ354" s="23"/>
      <c r="BR354" s="24"/>
      <c r="BS354" s="24"/>
      <c r="BT354" s="68"/>
      <c r="BU354" s="68"/>
      <c r="BV354" s="25"/>
      <c r="BW354" s="26"/>
      <c r="BX354" s="27"/>
      <c r="BY354" s="28"/>
      <c r="BZ354" s="28"/>
      <c r="CA354" s="28"/>
      <c r="CB354" s="28"/>
      <c r="CC354" s="28"/>
      <c r="CD354" s="28"/>
      <c r="CE354" s="28"/>
      <c r="CF354" s="28"/>
      <c r="CG354" s="28"/>
      <c r="CH354" s="28"/>
      <c r="CI354" s="28"/>
      <c r="CJ354" s="28"/>
      <c r="CK354" s="28"/>
      <c r="CL354" s="28"/>
      <c r="CM354" s="28"/>
      <c r="CN354" s="28"/>
      <c r="CO354" s="28"/>
      <c r="CP354" s="28"/>
      <c r="CQ354" s="28"/>
      <c r="CR354" s="28"/>
      <c r="CS354" s="28"/>
      <c r="CT354" s="28"/>
      <c r="CU354" s="28"/>
      <c r="CV354" s="28"/>
      <c r="CW354" s="28"/>
      <c r="CX354" s="28"/>
      <c r="CY354" s="28"/>
      <c r="CZ354" s="28"/>
      <c r="DA354" s="28"/>
      <c r="DB354" s="28"/>
      <c r="DC354" s="28"/>
      <c r="DD354" s="28"/>
      <c r="DE354" s="28"/>
      <c r="DF354" s="28"/>
      <c r="DG354" s="28"/>
      <c r="DH354" s="28"/>
      <c r="DI354" s="28"/>
      <c r="DJ354" s="28"/>
      <c r="DK354" s="29"/>
      <c r="DL354" s="29"/>
      <c r="DM354" s="29"/>
      <c r="DN354" s="29"/>
      <c r="DO354" s="29"/>
      <c r="DP354" s="29"/>
      <c r="DQ354" s="29"/>
      <c r="DR354" s="29"/>
      <c r="DS354" s="22"/>
      <c r="DT354" s="22"/>
      <c r="DU354" s="22"/>
      <c r="DV354" s="22"/>
    </row>
    <row r="355" spans="61:126" x14ac:dyDescent="0.25">
      <c r="BI355" s="22"/>
      <c r="BJ355" s="22"/>
      <c r="BK355" s="22"/>
      <c r="BL355" s="22"/>
      <c r="BM355" s="66"/>
      <c r="BN355" s="66"/>
      <c r="BO355" s="23"/>
      <c r="BP355" s="23"/>
      <c r="BQ355" s="23"/>
      <c r="BR355" s="24"/>
      <c r="BS355" s="24"/>
      <c r="BT355" s="68"/>
      <c r="BU355" s="68"/>
      <c r="BV355" s="25"/>
      <c r="BW355" s="26"/>
      <c r="BX355" s="27"/>
      <c r="BY355" s="28"/>
      <c r="BZ355" s="28"/>
      <c r="CA355" s="28"/>
      <c r="CB355" s="28"/>
      <c r="CC355" s="28"/>
      <c r="CD355" s="28"/>
      <c r="CE355" s="28"/>
      <c r="CF355" s="28"/>
      <c r="CG355" s="28"/>
      <c r="CH355" s="28"/>
      <c r="CI355" s="28"/>
      <c r="CJ355" s="28"/>
      <c r="CK355" s="28"/>
      <c r="CL355" s="28"/>
      <c r="CM355" s="28"/>
      <c r="CN355" s="28"/>
      <c r="CO355" s="28"/>
      <c r="CP355" s="28"/>
      <c r="CQ355" s="28"/>
      <c r="CR355" s="28"/>
      <c r="CS355" s="28"/>
      <c r="CT355" s="28"/>
      <c r="CU355" s="28"/>
      <c r="CV355" s="28"/>
      <c r="CW355" s="28"/>
      <c r="CX355" s="28"/>
      <c r="CY355" s="28"/>
      <c r="CZ355" s="28"/>
      <c r="DA355" s="28"/>
      <c r="DB355" s="28"/>
      <c r="DC355" s="28"/>
      <c r="DD355" s="28"/>
      <c r="DE355" s="28"/>
      <c r="DF355" s="28"/>
      <c r="DG355" s="28"/>
      <c r="DH355" s="28"/>
      <c r="DI355" s="28"/>
      <c r="DJ355" s="28"/>
      <c r="DK355" s="29"/>
      <c r="DL355" s="29"/>
      <c r="DM355" s="29"/>
      <c r="DN355" s="29"/>
      <c r="DO355" s="29"/>
      <c r="DP355" s="29"/>
      <c r="DQ355" s="29"/>
      <c r="DR355" s="29"/>
      <c r="DS355" s="22"/>
      <c r="DT355" s="22"/>
      <c r="DU355" s="22"/>
      <c r="DV355" s="22"/>
    </row>
    <row r="356" spans="61:126" x14ac:dyDescent="0.25">
      <c r="BI356" s="22"/>
      <c r="BJ356" s="22"/>
      <c r="BK356" s="22"/>
      <c r="BL356" s="22"/>
      <c r="BM356" s="66"/>
      <c r="BN356" s="66"/>
      <c r="BO356" s="23"/>
      <c r="BP356" s="23"/>
      <c r="BQ356" s="23"/>
      <c r="BR356" s="24"/>
      <c r="BS356" s="24"/>
      <c r="BT356" s="68"/>
      <c r="BU356" s="68"/>
      <c r="BV356" s="25"/>
      <c r="BW356" s="26"/>
      <c r="BX356" s="27"/>
      <c r="BY356" s="28"/>
      <c r="BZ356" s="28"/>
      <c r="CA356" s="28"/>
      <c r="CB356" s="28"/>
      <c r="CC356" s="28"/>
      <c r="CD356" s="28"/>
      <c r="CE356" s="28"/>
      <c r="CF356" s="28"/>
      <c r="CG356" s="28"/>
      <c r="CH356" s="28"/>
      <c r="CI356" s="28"/>
      <c r="CJ356" s="28"/>
      <c r="CK356" s="28"/>
      <c r="CL356" s="28"/>
      <c r="CM356" s="28"/>
      <c r="CN356" s="28"/>
      <c r="CO356" s="28"/>
      <c r="CP356" s="28"/>
      <c r="CQ356" s="28"/>
      <c r="CR356" s="28"/>
      <c r="CS356" s="28"/>
      <c r="CT356" s="28"/>
      <c r="CU356" s="28"/>
      <c r="CV356" s="28"/>
      <c r="CW356" s="28"/>
      <c r="CX356" s="28"/>
      <c r="CY356" s="28"/>
      <c r="CZ356" s="28"/>
      <c r="DA356" s="28"/>
      <c r="DB356" s="28"/>
      <c r="DC356" s="28"/>
      <c r="DD356" s="28"/>
      <c r="DE356" s="28"/>
      <c r="DF356" s="28"/>
      <c r="DG356" s="28"/>
      <c r="DH356" s="28"/>
      <c r="DI356" s="28"/>
      <c r="DJ356" s="28"/>
      <c r="DK356" s="29"/>
      <c r="DL356" s="29"/>
      <c r="DM356" s="29"/>
      <c r="DN356" s="29"/>
      <c r="DO356" s="29"/>
      <c r="DP356" s="29"/>
      <c r="DQ356" s="29"/>
      <c r="DR356" s="29"/>
      <c r="DS356" s="22"/>
      <c r="DT356" s="22"/>
      <c r="DU356" s="22"/>
      <c r="DV356" s="22"/>
    </row>
    <row r="357" spans="61:126" x14ac:dyDescent="0.25">
      <c r="BI357" s="22"/>
      <c r="BJ357" s="22"/>
      <c r="BK357" s="22"/>
      <c r="BL357" s="22"/>
      <c r="BM357" s="66"/>
      <c r="BN357" s="66"/>
      <c r="BO357" s="23"/>
      <c r="BP357" s="23"/>
      <c r="BQ357" s="23"/>
      <c r="BR357" s="24"/>
      <c r="BS357" s="24"/>
      <c r="BT357" s="68"/>
      <c r="BU357" s="68"/>
      <c r="BV357" s="25"/>
      <c r="BW357" s="26"/>
      <c r="BX357" s="27"/>
      <c r="BY357" s="28"/>
      <c r="BZ357" s="28"/>
      <c r="CA357" s="28"/>
      <c r="CB357" s="28"/>
      <c r="CC357" s="28"/>
      <c r="CD357" s="28"/>
      <c r="CE357" s="28"/>
      <c r="CF357" s="28"/>
      <c r="CG357" s="28"/>
      <c r="CH357" s="28"/>
      <c r="CI357" s="28"/>
      <c r="CJ357" s="28"/>
      <c r="CK357" s="28"/>
      <c r="CL357" s="28"/>
      <c r="CM357" s="28"/>
      <c r="CN357" s="28"/>
      <c r="CO357" s="28"/>
      <c r="CP357" s="28"/>
      <c r="CQ357" s="28"/>
      <c r="CR357" s="28"/>
      <c r="CS357" s="28"/>
      <c r="CT357" s="28"/>
      <c r="CU357" s="28"/>
      <c r="CV357" s="28"/>
      <c r="CW357" s="28"/>
      <c r="CX357" s="28"/>
      <c r="CY357" s="28"/>
      <c r="CZ357" s="28"/>
      <c r="DA357" s="28"/>
      <c r="DB357" s="28"/>
      <c r="DC357" s="28"/>
      <c r="DD357" s="28"/>
      <c r="DE357" s="28"/>
      <c r="DF357" s="28"/>
      <c r="DG357" s="28"/>
      <c r="DH357" s="28"/>
      <c r="DI357" s="28"/>
      <c r="DJ357" s="28"/>
      <c r="DK357" s="29"/>
      <c r="DL357" s="29"/>
      <c r="DM357" s="29"/>
      <c r="DN357" s="29"/>
      <c r="DO357" s="29"/>
      <c r="DP357" s="29"/>
      <c r="DQ357" s="29"/>
      <c r="DR357" s="29"/>
      <c r="DS357" s="22"/>
      <c r="DT357" s="22"/>
      <c r="DU357" s="22"/>
      <c r="DV357" s="22"/>
    </row>
    <row r="358" spans="61:126" x14ac:dyDescent="0.25">
      <c r="BI358" s="22"/>
      <c r="BJ358" s="22"/>
      <c r="BK358" s="22"/>
      <c r="BL358" s="22"/>
      <c r="BM358" s="66"/>
      <c r="BN358" s="66"/>
      <c r="BO358" s="23"/>
      <c r="BP358" s="23"/>
      <c r="BQ358" s="23"/>
      <c r="BR358" s="24"/>
      <c r="BS358" s="24"/>
      <c r="BT358" s="68"/>
      <c r="BU358" s="68"/>
      <c r="BV358" s="25"/>
      <c r="BW358" s="26"/>
      <c r="BX358" s="27"/>
      <c r="BY358" s="28"/>
      <c r="BZ358" s="28"/>
      <c r="CA358" s="28"/>
      <c r="CB358" s="28"/>
      <c r="CC358" s="28"/>
      <c r="CD358" s="28"/>
      <c r="CE358" s="28"/>
      <c r="CF358" s="28"/>
      <c r="CG358" s="28"/>
      <c r="CH358" s="28"/>
      <c r="CI358" s="28"/>
      <c r="CJ358" s="28"/>
      <c r="CK358" s="28"/>
      <c r="CL358" s="28"/>
      <c r="CM358" s="28"/>
      <c r="CN358" s="28"/>
      <c r="CO358" s="28"/>
      <c r="CP358" s="28"/>
      <c r="CQ358" s="28"/>
      <c r="CR358" s="28"/>
      <c r="CS358" s="28"/>
      <c r="CT358" s="28"/>
      <c r="CU358" s="28"/>
      <c r="CV358" s="28"/>
      <c r="CW358" s="28"/>
      <c r="CX358" s="28"/>
      <c r="CY358" s="28"/>
      <c r="CZ358" s="28"/>
      <c r="DA358" s="28"/>
      <c r="DB358" s="28"/>
      <c r="DC358" s="28"/>
      <c r="DD358" s="28"/>
      <c r="DE358" s="28"/>
      <c r="DF358" s="28"/>
      <c r="DG358" s="28"/>
      <c r="DH358" s="28"/>
      <c r="DI358" s="28"/>
      <c r="DJ358" s="28"/>
      <c r="DK358" s="29"/>
      <c r="DL358" s="29"/>
      <c r="DM358" s="29"/>
      <c r="DN358" s="29"/>
      <c r="DO358" s="29"/>
      <c r="DP358" s="29"/>
      <c r="DQ358" s="29"/>
      <c r="DR358" s="29"/>
      <c r="DS358" s="22"/>
      <c r="DT358" s="22"/>
      <c r="DU358" s="22"/>
      <c r="DV358" s="22"/>
    </row>
    <row r="359" spans="61:126" x14ac:dyDescent="0.25">
      <c r="BI359" s="22"/>
      <c r="BJ359" s="22"/>
      <c r="BK359" s="22"/>
      <c r="BL359" s="22"/>
      <c r="BM359" s="66"/>
      <c r="BN359" s="66"/>
      <c r="BO359" s="23"/>
      <c r="BP359" s="23"/>
      <c r="BQ359" s="23"/>
      <c r="BR359" s="24"/>
      <c r="BS359" s="24"/>
      <c r="BT359" s="68"/>
      <c r="BU359" s="68"/>
      <c r="BV359" s="25"/>
      <c r="BW359" s="26"/>
      <c r="BX359" s="27"/>
      <c r="BY359" s="28"/>
      <c r="BZ359" s="28"/>
      <c r="CA359" s="28"/>
      <c r="CB359" s="28"/>
      <c r="CC359" s="28"/>
      <c r="CD359" s="28"/>
      <c r="CE359" s="28"/>
      <c r="CF359" s="28"/>
      <c r="CG359" s="28"/>
      <c r="CH359" s="28"/>
      <c r="CI359" s="28"/>
      <c r="CJ359" s="28"/>
      <c r="CK359" s="28"/>
      <c r="CL359" s="28"/>
      <c r="CM359" s="28"/>
      <c r="CN359" s="28"/>
      <c r="CO359" s="28"/>
      <c r="CP359" s="28"/>
      <c r="CQ359" s="28"/>
      <c r="CR359" s="28"/>
      <c r="CS359" s="28"/>
      <c r="CT359" s="28"/>
      <c r="CU359" s="28"/>
      <c r="CV359" s="28"/>
      <c r="CW359" s="28"/>
      <c r="CX359" s="28"/>
      <c r="CY359" s="28"/>
      <c r="CZ359" s="28"/>
      <c r="DA359" s="28"/>
      <c r="DB359" s="28"/>
      <c r="DC359" s="28"/>
      <c r="DD359" s="28"/>
      <c r="DE359" s="28"/>
      <c r="DF359" s="28"/>
      <c r="DG359" s="28"/>
      <c r="DH359" s="28"/>
      <c r="DI359" s="28"/>
      <c r="DJ359" s="28"/>
      <c r="DK359" s="29"/>
      <c r="DL359" s="29"/>
      <c r="DM359" s="29"/>
      <c r="DN359" s="29"/>
      <c r="DO359" s="29"/>
      <c r="DP359" s="29"/>
      <c r="DQ359" s="29"/>
      <c r="DR359" s="29"/>
      <c r="DS359" s="22"/>
      <c r="DT359" s="22"/>
      <c r="DU359" s="22"/>
      <c r="DV359" s="22"/>
    </row>
    <row r="360" spans="61:126" x14ac:dyDescent="0.25">
      <c r="BI360" s="22"/>
      <c r="BJ360" s="22"/>
      <c r="BK360" s="22"/>
      <c r="BL360" s="22"/>
      <c r="BM360" s="66"/>
      <c r="BN360" s="66"/>
      <c r="BO360" s="23"/>
      <c r="BP360" s="23"/>
      <c r="BQ360" s="23"/>
      <c r="BR360" s="24"/>
      <c r="BS360" s="24"/>
      <c r="BT360" s="68"/>
      <c r="BU360" s="68"/>
      <c r="BV360" s="25"/>
      <c r="BW360" s="26"/>
      <c r="BX360" s="27"/>
      <c r="BY360" s="28"/>
      <c r="BZ360" s="28"/>
      <c r="CA360" s="28"/>
      <c r="CB360" s="28"/>
      <c r="CC360" s="28"/>
      <c r="CD360" s="28"/>
      <c r="CE360" s="28"/>
      <c r="CF360" s="28"/>
      <c r="CG360" s="28"/>
      <c r="CH360" s="28"/>
      <c r="CI360" s="28"/>
      <c r="CJ360" s="28"/>
      <c r="CK360" s="28"/>
      <c r="CL360" s="28"/>
      <c r="CM360" s="28"/>
      <c r="CN360" s="28"/>
      <c r="CO360" s="28"/>
      <c r="CP360" s="28"/>
      <c r="CQ360" s="28"/>
      <c r="CR360" s="28"/>
      <c r="CS360" s="28"/>
      <c r="CT360" s="28"/>
      <c r="CU360" s="28"/>
      <c r="CV360" s="28"/>
      <c r="CW360" s="28"/>
      <c r="CX360" s="28"/>
      <c r="CY360" s="28"/>
      <c r="CZ360" s="28"/>
      <c r="DA360" s="28"/>
      <c r="DB360" s="28"/>
      <c r="DC360" s="28"/>
      <c r="DD360" s="28"/>
      <c r="DE360" s="28"/>
      <c r="DF360" s="28"/>
      <c r="DG360" s="28"/>
      <c r="DH360" s="28"/>
      <c r="DI360" s="28"/>
      <c r="DJ360" s="28"/>
      <c r="DK360" s="29"/>
      <c r="DL360" s="29"/>
      <c r="DM360" s="29"/>
      <c r="DN360" s="29"/>
      <c r="DO360" s="29"/>
      <c r="DP360" s="29"/>
      <c r="DQ360" s="29"/>
      <c r="DR360" s="29"/>
      <c r="DS360" s="22"/>
      <c r="DT360" s="22"/>
      <c r="DU360" s="22"/>
      <c r="DV360" s="22"/>
    </row>
    <row r="361" spans="61:126" x14ac:dyDescent="0.25">
      <c r="BI361" s="22"/>
      <c r="BJ361" s="22"/>
      <c r="BK361" s="22"/>
      <c r="BL361" s="22"/>
      <c r="BM361" s="66"/>
      <c r="BN361" s="66"/>
      <c r="BO361" s="23"/>
      <c r="BP361" s="23"/>
      <c r="BQ361" s="23"/>
      <c r="BR361" s="24"/>
      <c r="BS361" s="24"/>
      <c r="BT361" s="68"/>
      <c r="BU361" s="68"/>
      <c r="BV361" s="25"/>
      <c r="BW361" s="26"/>
      <c r="BX361" s="27"/>
      <c r="BY361" s="28"/>
      <c r="BZ361" s="28"/>
      <c r="CA361" s="28"/>
      <c r="CB361" s="28"/>
      <c r="CC361" s="28"/>
      <c r="CD361" s="28"/>
      <c r="CE361" s="28"/>
      <c r="CF361" s="28"/>
      <c r="CG361" s="28"/>
      <c r="CH361" s="28"/>
      <c r="CI361" s="28"/>
      <c r="CJ361" s="28"/>
      <c r="CK361" s="28"/>
      <c r="CL361" s="28"/>
      <c r="CM361" s="28"/>
      <c r="CN361" s="28"/>
      <c r="CO361" s="28"/>
      <c r="CP361" s="28"/>
      <c r="CQ361" s="28"/>
      <c r="CR361" s="28"/>
      <c r="CS361" s="28"/>
      <c r="CT361" s="28"/>
      <c r="CU361" s="28"/>
      <c r="CV361" s="28"/>
      <c r="CW361" s="28"/>
      <c r="CX361" s="28"/>
      <c r="CY361" s="28"/>
      <c r="CZ361" s="28"/>
      <c r="DA361" s="28"/>
      <c r="DB361" s="28"/>
      <c r="DC361" s="28"/>
      <c r="DD361" s="28"/>
      <c r="DE361" s="28"/>
      <c r="DF361" s="28"/>
      <c r="DG361" s="28"/>
      <c r="DH361" s="28"/>
      <c r="DI361" s="28"/>
      <c r="DJ361" s="28"/>
      <c r="DK361" s="29"/>
      <c r="DL361" s="29"/>
      <c r="DM361" s="29"/>
      <c r="DN361" s="29"/>
      <c r="DO361" s="29"/>
      <c r="DP361" s="29"/>
      <c r="DQ361" s="29"/>
      <c r="DR361" s="29"/>
      <c r="DS361" s="22"/>
      <c r="DT361" s="22"/>
      <c r="DU361" s="22"/>
      <c r="DV361" s="22"/>
    </row>
    <row r="362" spans="61:126" x14ac:dyDescent="0.25">
      <c r="BI362" s="22"/>
      <c r="BJ362" s="22"/>
      <c r="BK362" s="22"/>
      <c r="BL362" s="22"/>
      <c r="BM362" s="66"/>
      <c r="BN362" s="66"/>
      <c r="BO362" s="23"/>
      <c r="BP362" s="23"/>
      <c r="BQ362" s="23"/>
      <c r="BR362" s="24"/>
      <c r="BS362" s="24"/>
      <c r="BT362" s="68"/>
      <c r="BU362" s="68"/>
      <c r="BV362" s="25"/>
      <c r="BW362" s="26"/>
      <c r="BX362" s="27"/>
      <c r="BY362" s="28"/>
      <c r="BZ362" s="28"/>
      <c r="CA362" s="28"/>
      <c r="CB362" s="28"/>
      <c r="CC362" s="28"/>
      <c r="CD362" s="28"/>
      <c r="CE362" s="28"/>
      <c r="CF362" s="28"/>
      <c r="CG362" s="28"/>
      <c r="CH362" s="28"/>
      <c r="CI362" s="28"/>
      <c r="CJ362" s="28"/>
      <c r="CK362" s="28"/>
      <c r="CL362" s="28"/>
      <c r="CM362" s="28"/>
      <c r="CN362" s="28"/>
      <c r="CO362" s="28"/>
      <c r="CP362" s="28"/>
      <c r="CQ362" s="28"/>
      <c r="CR362" s="28"/>
      <c r="CS362" s="28"/>
      <c r="CT362" s="28"/>
      <c r="CU362" s="28"/>
      <c r="CV362" s="28"/>
      <c r="CW362" s="28"/>
      <c r="CX362" s="28"/>
      <c r="CY362" s="28"/>
      <c r="CZ362" s="28"/>
      <c r="DA362" s="28"/>
      <c r="DB362" s="28"/>
      <c r="DC362" s="28"/>
      <c r="DD362" s="28"/>
      <c r="DE362" s="28"/>
      <c r="DF362" s="28"/>
      <c r="DG362" s="28"/>
      <c r="DH362" s="28"/>
      <c r="DI362" s="28"/>
      <c r="DJ362" s="28"/>
      <c r="DK362" s="29"/>
      <c r="DL362" s="29"/>
      <c r="DM362" s="29"/>
      <c r="DN362" s="29"/>
      <c r="DO362" s="29"/>
      <c r="DP362" s="29"/>
      <c r="DQ362" s="29"/>
      <c r="DR362" s="29"/>
      <c r="DS362" s="22"/>
      <c r="DT362" s="22"/>
      <c r="DU362" s="22"/>
      <c r="DV362" s="22"/>
    </row>
    <row r="363" spans="61:126" x14ac:dyDescent="0.25">
      <c r="BI363" s="22"/>
      <c r="BJ363" s="22"/>
      <c r="BK363" s="22"/>
      <c r="BL363" s="22"/>
      <c r="BM363" s="66"/>
      <c r="BN363" s="66"/>
      <c r="BO363" s="23"/>
      <c r="BP363" s="23"/>
      <c r="BQ363" s="23"/>
      <c r="BR363" s="24"/>
      <c r="BS363" s="24"/>
      <c r="BT363" s="68"/>
      <c r="BU363" s="68"/>
      <c r="BV363" s="25"/>
      <c r="BW363" s="26"/>
      <c r="BX363" s="27"/>
      <c r="BY363" s="28"/>
      <c r="BZ363" s="28"/>
      <c r="CA363" s="28"/>
      <c r="CB363" s="28"/>
      <c r="CC363" s="28"/>
      <c r="CD363" s="28"/>
      <c r="CE363" s="28"/>
      <c r="CF363" s="28"/>
      <c r="CG363" s="28"/>
      <c r="CH363" s="28"/>
      <c r="CI363" s="28"/>
      <c r="CJ363" s="28"/>
      <c r="CK363" s="28"/>
      <c r="CL363" s="28"/>
      <c r="CM363" s="28"/>
      <c r="CN363" s="28"/>
      <c r="CO363" s="28"/>
      <c r="CP363" s="28"/>
      <c r="CQ363" s="28"/>
      <c r="CR363" s="28"/>
      <c r="CS363" s="28"/>
      <c r="CT363" s="28"/>
      <c r="CU363" s="28"/>
      <c r="CV363" s="28"/>
      <c r="CW363" s="28"/>
      <c r="CX363" s="28"/>
      <c r="CY363" s="28"/>
      <c r="CZ363" s="28"/>
      <c r="DA363" s="28"/>
      <c r="DB363" s="28"/>
      <c r="DC363" s="28"/>
      <c r="DD363" s="28"/>
      <c r="DE363" s="28"/>
      <c r="DF363" s="28"/>
      <c r="DG363" s="28"/>
      <c r="DH363" s="28"/>
      <c r="DI363" s="28"/>
      <c r="DJ363" s="28"/>
      <c r="DK363" s="29"/>
      <c r="DL363" s="29"/>
      <c r="DM363" s="29"/>
      <c r="DN363" s="29"/>
      <c r="DO363" s="29"/>
      <c r="DP363" s="29"/>
      <c r="DQ363" s="29"/>
      <c r="DR363" s="29"/>
      <c r="DS363" s="22"/>
      <c r="DT363" s="22"/>
      <c r="DU363" s="22"/>
      <c r="DV363" s="22"/>
    </row>
    <row r="364" spans="61:126" x14ac:dyDescent="0.25">
      <c r="BI364" s="22"/>
      <c r="BJ364" s="22"/>
      <c r="BK364" s="22"/>
      <c r="BL364" s="22"/>
      <c r="BM364" s="66"/>
      <c r="BN364" s="66"/>
      <c r="BO364" s="23"/>
      <c r="BP364" s="23"/>
      <c r="BQ364" s="23"/>
      <c r="BR364" s="24"/>
      <c r="BS364" s="24"/>
      <c r="BT364" s="68"/>
      <c r="BU364" s="68"/>
      <c r="BV364" s="25"/>
      <c r="BW364" s="26"/>
      <c r="BX364" s="27"/>
      <c r="BY364" s="28"/>
      <c r="BZ364" s="28"/>
      <c r="CA364" s="28"/>
      <c r="CB364" s="28"/>
      <c r="CC364" s="28"/>
      <c r="CD364" s="28"/>
      <c r="CE364" s="28"/>
      <c r="CF364" s="28"/>
      <c r="CG364" s="28"/>
      <c r="CH364" s="28"/>
      <c r="CI364" s="28"/>
      <c r="CJ364" s="28"/>
      <c r="CK364" s="28"/>
      <c r="CL364" s="28"/>
      <c r="CM364" s="28"/>
      <c r="CN364" s="28"/>
      <c r="CO364" s="28"/>
      <c r="CP364" s="28"/>
      <c r="CQ364" s="28"/>
      <c r="CR364" s="28"/>
      <c r="CS364" s="28"/>
      <c r="CT364" s="28"/>
      <c r="CU364" s="28"/>
      <c r="CV364" s="28"/>
      <c r="CW364" s="28"/>
      <c r="CX364" s="28"/>
      <c r="CY364" s="28"/>
      <c r="CZ364" s="28"/>
      <c r="DA364" s="28"/>
      <c r="DB364" s="28"/>
      <c r="DC364" s="28"/>
      <c r="DD364" s="28"/>
      <c r="DE364" s="28"/>
      <c r="DF364" s="28"/>
      <c r="DG364" s="28"/>
      <c r="DH364" s="28"/>
      <c r="DI364" s="28"/>
      <c r="DJ364" s="28"/>
      <c r="DK364" s="29"/>
      <c r="DL364" s="29"/>
      <c r="DM364" s="29"/>
      <c r="DN364" s="29"/>
      <c r="DO364" s="29"/>
      <c r="DP364" s="29"/>
      <c r="DQ364" s="29"/>
      <c r="DR364" s="29"/>
      <c r="DS364" s="22"/>
      <c r="DT364" s="22"/>
      <c r="DU364" s="22"/>
      <c r="DV364" s="22"/>
    </row>
    <row r="365" spans="61:126" x14ac:dyDescent="0.25">
      <c r="BI365" s="22"/>
      <c r="BJ365" s="22"/>
      <c r="BK365" s="22"/>
      <c r="BL365" s="22"/>
      <c r="BM365" s="66"/>
      <c r="BN365" s="66"/>
      <c r="BO365" s="23"/>
      <c r="BP365" s="23"/>
      <c r="BQ365" s="23"/>
      <c r="BR365" s="24"/>
      <c r="BS365" s="24"/>
      <c r="BT365" s="68"/>
      <c r="BU365" s="68"/>
      <c r="BV365" s="25"/>
      <c r="BW365" s="26"/>
      <c r="BX365" s="27"/>
      <c r="BY365" s="28"/>
      <c r="BZ365" s="28"/>
      <c r="CA365" s="28"/>
      <c r="CB365" s="28"/>
      <c r="CC365" s="28"/>
      <c r="CD365" s="28"/>
      <c r="CE365" s="28"/>
      <c r="CF365" s="28"/>
      <c r="CG365" s="28"/>
      <c r="CH365" s="28"/>
      <c r="CI365" s="28"/>
      <c r="CJ365" s="28"/>
      <c r="CK365" s="28"/>
      <c r="CL365" s="28"/>
      <c r="CM365" s="28"/>
      <c r="CN365" s="28"/>
      <c r="CO365" s="28"/>
      <c r="CP365" s="28"/>
      <c r="CQ365" s="28"/>
      <c r="CR365" s="28"/>
      <c r="CS365" s="28"/>
      <c r="CT365" s="28"/>
      <c r="CU365" s="28"/>
      <c r="CV365" s="28"/>
      <c r="CW365" s="28"/>
      <c r="CX365" s="28"/>
      <c r="CY365" s="28"/>
      <c r="CZ365" s="28"/>
      <c r="DA365" s="28"/>
      <c r="DB365" s="28"/>
      <c r="DC365" s="28"/>
      <c r="DD365" s="28"/>
      <c r="DE365" s="28"/>
      <c r="DF365" s="28"/>
      <c r="DG365" s="28"/>
      <c r="DH365" s="28"/>
      <c r="DI365" s="28"/>
      <c r="DJ365" s="28"/>
      <c r="DK365" s="29"/>
      <c r="DL365" s="29"/>
      <c r="DM365" s="29"/>
      <c r="DN365" s="29"/>
      <c r="DO365" s="29"/>
      <c r="DP365" s="29"/>
      <c r="DQ365" s="29"/>
      <c r="DR365" s="29"/>
      <c r="DS365" s="22"/>
      <c r="DT365" s="22"/>
      <c r="DU365" s="22"/>
      <c r="DV365" s="22"/>
    </row>
    <row r="366" spans="61:126" x14ac:dyDescent="0.25">
      <c r="BI366" s="22"/>
      <c r="BJ366" s="22"/>
      <c r="BK366" s="22"/>
      <c r="BL366" s="22"/>
      <c r="BM366" s="66"/>
      <c r="BN366" s="66"/>
      <c r="BO366" s="23"/>
      <c r="BP366" s="23"/>
      <c r="BQ366" s="23"/>
      <c r="BR366" s="24"/>
      <c r="BS366" s="24"/>
      <c r="BT366" s="68"/>
      <c r="BU366" s="68"/>
      <c r="BV366" s="25"/>
      <c r="BW366" s="26"/>
      <c r="BX366" s="27"/>
      <c r="BY366" s="28"/>
      <c r="BZ366" s="28"/>
      <c r="CA366" s="28"/>
      <c r="CB366" s="28"/>
      <c r="CC366" s="28"/>
      <c r="CD366" s="28"/>
      <c r="CE366" s="28"/>
      <c r="CF366" s="28"/>
      <c r="CG366" s="28"/>
      <c r="CH366" s="28"/>
      <c r="CI366" s="28"/>
      <c r="CJ366" s="28"/>
      <c r="CK366" s="28"/>
      <c r="CL366" s="28"/>
      <c r="CM366" s="28"/>
      <c r="CN366" s="28"/>
      <c r="CO366" s="28"/>
      <c r="CP366" s="28"/>
      <c r="CQ366" s="28"/>
      <c r="CR366" s="28"/>
      <c r="CS366" s="28"/>
      <c r="CT366" s="28"/>
      <c r="CU366" s="28"/>
      <c r="CV366" s="28"/>
      <c r="CW366" s="28"/>
      <c r="CX366" s="28"/>
      <c r="CY366" s="28"/>
      <c r="CZ366" s="28"/>
      <c r="DA366" s="28"/>
      <c r="DB366" s="28"/>
      <c r="DC366" s="28"/>
      <c r="DD366" s="28"/>
      <c r="DE366" s="28"/>
      <c r="DF366" s="28"/>
      <c r="DG366" s="28"/>
      <c r="DH366" s="28"/>
      <c r="DI366" s="28"/>
      <c r="DJ366" s="28"/>
      <c r="DK366" s="29"/>
      <c r="DL366" s="29"/>
      <c r="DM366" s="29"/>
      <c r="DN366" s="29"/>
      <c r="DO366" s="29"/>
      <c r="DP366" s="29"/>
      <c r="DQ366" s="29"/>
      <c r="DR366" s="29"/>
      <c r="DS366" s="22"/>
      <c r="DT366" s="22"/>
      <c r="DU366" s="22"/>
      <c r="DV366" s="22"/>
    </row>
    <row r="367" spans="61:126" x14ac:dyDescent="0.25">
      <c r="BI367" s="22"/>
      <c r="BJ367" s="22"/>
      <c r="BK367" s="22"/>
      <c r="BL367" s="22"/>
      <c r="BM367" s="66"/>
      <c r="BN367" s="66"/>
      <c r="BO367" s="23"/>
      <c r="BP367" s="23"/>
      <c r="BQ367" s="23"/>
      <c r="BR367" s="24"/>
      <c r="BS367" s="24"/>
      <c r="BT367" s="68"/>
      <c r="BU367" s="68"/>
      <c r="BV367" s="25"/>
      <c r="BW367" s="26"/>
      <c r="BX367" s="27"/>
      <c r="BY367" s="28"/>
      <c r="BZ367" s="28"/>
      <c r="CA367" s="28"/>
      <c r="CB367" s="28"/>
      <c r="CC367" s="28"/>
      <c r="CD367" s="28"/>
      <c r="CE367" s="28"/>
      <c r="CF367" s="28"/>
      <c r="CG367" s="28"/>
      <c r="CH367" s="28"/>
      <c r="CI367" s="28"/>
      <c r="CJ367" s="28"/>
      <c r="CK367" s="28"/>
      <c r="CL367" s="28"/>
      <c r="CM367" s="28"/>
      <c r="CN367" s="28"/>
      <c r="CO367" s="28"/>
      <c r="CP367" s="28"/>
      <c r="CQ367" s="28"/>
      <c r="CR367" s="28"/>
      <c r="CS367" s="28"/>
      <c r="CT367" s="28"/>
      <c r="CU367" s="28"/>
      <c r="CV367" s="28"/>
      <c r="CW367" s="28"/>
      <c r="CX367" s="28"/>
      <c r="CY367" s="28"/>
      <c r="CZ367" s="28"/>
      <c r="DA367" s="28"/>
      <c r="DB367" s="28"/>
      <c r="DC367" s="28"/>
      <c r="DD367" s="28"/>
      <c r="DE367" s="28"/>
      <c r="DF367" s="28"/>
      <c r="DG367" s="28"/>
      <c r="DH367" s="28"/>
      <c r="DI367" s="28"/>
      <c r="DJ367" s="28"/>
      <c r="DK367" s="29"/>
      <c r="DL367" s="29"/>
      <c r="DM367" s="29"/>
      <c r="DN367" s="29"/>
      <c r="DO367" s="29"/>
      <c r="DP367" s="29"/>
      <c r="DQ367" s="29"/>
      <c r="DR367" s="29"/>
      <c r="DS367" s="22"/>
      <c r="DT367" s="22"/>
      <c r="DU367" s="22"/>
      <c r="DV367" s="22"/>
    </row>
    <row r="368" spans="61:126" x14ac:dyDescent="0.25">
      <c r="BI368" s="22"/>
      <c r="BJ368" s="22"/>
      <c r="BK368" s="22"/>
      <c r="BL368" s="22"/>
      <c r="BM368" s="66"/>
      <c r="BN368" s="66"/>
      <c r="BO368" s="23"/>
      <c r="BP368" s="23"/>
      <c r="BQ368" s="23"/>
      <c r="BR368" s="24"/>
      <c r="BS368" s="24"/>
      <c r="BT368" s="68"/>
      <c r="BU368" s="68"/>
      <c r="BV368" s="25"/>
      <c r="BW368" s="26"/>
      <c r="BX368" s="27"/>
      <c r="BY368" s="28"/>
      <c r="BZ368" s="28"/>
      <c r="CA368" s="28"/>
      <c r="CB368" s="28"/>
      <c r="CC368" s="28"/>
      <c r="CD368" s="28"/>
      <c r="CE368" s="28"/>
      <c r="CF368" s="28"/>
      <c r="CG368" s="28"/>
      <c r="CH368" s="28"/>
      <c r="CI368" s="28"/>
      <c r="CJ368" s="28"/>
      <c r="CK368" s="28"/>
      <c r="CL368" s="28"/>
      <c r="CM368" s="28"/>
      <c r="CN368" s="28"/>
      <c r="CO368" s="28"/>
      <c r="CP368" s="28"/>
      <c r="CQ368" s="28"/>
      <c r="CR368" s="28"/>
      <c r="CS368" s="28"/>
      <c r="CT368" s="28"/>
      <c r="CU368" s="28"/>
      <c r="CV368" s="28"/>
      <c r="CW368" s="28"/>
      <c r="CX368" s="28"/>
      <c r="CY368" s="28"/>
      <c r="CZ368" s="28"/>
      <c r="DA368" s="28"/>
      <c r="DB368" s="28"/>
      <c r="DC368" s="28"/>
      <c r="DD368" s="28"/>
      <c r="DE368" s="28"/>
      <c r="DF368" s="28"/>
      <c r="DG368" s="28"/>
      <c r="DH368" s="28"/>
      <c r="DI368" s="28"/>
      <c r="DJ368" s="28"/>
      <c r="DK368" s="29"/>
      <c r="DL368" s="29"/>
      <c r="DM368" s="29"/>
      <c r="DN368" s="29"/>
      <c r="DO368" s="29"/>
      <c r="DP368" s="29"/>
      <c r="DQ368" s="29"/>
      <c r="DR368" s="29"/>
      <c r="DS368" s="22"/>
      <c r="DT368" s="22"/>
      <c r="DU368" s="22"/>
      <c r="DV368" s="22"/>
    </row>
    <row r="369" spans="61:126" x14ac:dyDescent="0.25">
      <c r="BI369" s="22"/>
      <c r="BJ369" s="22"/>
      <c r="BK369" s="22"/>
      <c r="BL369" s="22"/>
      <c r="BM369" s="66"/>
      <c r="BN369" s="66"/>
      <c r="BO369" s="23"/>
      <c r="BP369" s="23"/>
      <c r="BQ369" s="23"/>
      <c r="BR369" s="24"/>
      <c r="BS369" s="24"/>
      <c r="BT369" s="68"/>
      <c r="BU369" s="68"/>
      <c r="BV369" s="25"/>
      <c r="BW369" s="26"/>
      <c r="BX369" s="27"/>
      <c r="BY369" s="28"/>
      <c r="BZ369" s="28"/>
      <c r="CA369" s="28"/>
      <c r="CB369" s="28"/>
      <c r="CC369" s="28"/>
      <c r="CD369" s="28"/>
      <c r="CE369" s="28"/>
      <c r="CF369" s="28"/>
      <c r="CG369" s="28"/>
      <c r="CH369" s="28"/>
      <c r="CI369" s="28"/>
      <c r="CJ369" s="28"/>
      <c r="CK369" s="28"/>
      <c r="CL369" s="28"/>
      <c r="CM369" s="28"/>
      <c r="CN369" s="28"/>
      <c r="CO369" s="28"/>
      <c r="CP369" s="28"/>
      <c r="CQ369" s="28"/>
      <c r="CR369" s="28"/>
      <c r="CS369" s="28"/>
      <c r="CT369" s="28"/>
      <c r="CU369" s="28"/>
      <c r="CV369" s="28"/>
      <c r="CW369" s="28"/>
      <c r="CX369" s="28"/>
      <c r="CY369" s="28"/>
      <c r="CZ369" s="28"/>
      <c r="DA369" s="28"/>
      <c r="DB369" s="28"/>
      <c r="DC369" s="28"/>
      <c r="DD369" s="28"/>
      <c r="DE369" s="28"/>
      <c r="DF369" s="28"/>
      <c r="DG369" s="28"/>
      <c r="DH369" s="28"/>
      <c r="DI369" s="28"/>
      <c r="DJ369" s="28"/>
      <c r="DK369" s="29"/>
      <c r="DL369" s="29"/>
      <c r="DM369" s="29"/>
      <c r="DN369" s="29"/>
      <c r="DO369" s="29"/>
      <c r="DP369" s="29"/>
      <c r="DQ369" s="29"/>
      <c r="DR369" s="29"/>
      <c r="DS369" s="22"/>
      <c r="DT369" s="22"/>
      <c r="DU369" s="22"/>
      <c r="DV369" s="22"/>
    </row>
    <row r="370" spans="61:126" x14ac:dyDescent="0.25">
      <c r="BI370" s="22"/>
      <c r="BJ370" s="22"/>
      <c r="BK370" s="22"/>
      <c r="BL370" s="22"/>
      <c r="BM370" s="66"/>
      <c r="BN370" s="66"/>
      <c r="BO370" s="23"/>
      <c r="BP370" s="23"/>
      <c r="BQ370" s="23"/>
      <c r="BR370" s="24"/>
      <c r="BS370" s="24"/>
      <c r="BT370" s="68"/>
      <c r="BU370" s="68"/>
      <c r="BV370" s="25"/>
      <c r="BW370" s="26"/>
      <c r="BX370" s="27"/>
      <c r="BY370" s="28"/>
      <c r="BZ370" s="28"/>
      <c r="CA370" s="28"/>
      <c r="CB370" s="28"/>
      <c r="CC370" s="28"/>
      <c r="CD370" s="28"/>
      <c r="CE370" s="28"/>
      <c r="CF370" s="28"/>
      <c r="CG370" s="28"/>
      <c r="CH370" s="28"/>
      <c r="CI370" s="28"/>
      <c r="CJ370" s="28"/>
      <c r="CK370" s="28"/>
      <c r="CL370" s="28"/>
      <c r="CM370" s="28"/>
      <c r="CN370" s="28"/>
      <c r="CO370" s="28"/>
      <c r="CP370" s="28"/>
      <c r="CQ370" s="28"/>
      <c r="CR370" s="28"/>
      <c r="CS370" s="28"/>
      <c r="CT370" s="28"/>
      <c r="CU370" s="28"/>
      <c r="CV370" s="28"/>
      <c r="CW370" s="28"/>
      <c r="CX370" s="28"/>
      <c r="CY370" s="28"/>
      <c r="CZ370" s="28"/>
      <c r="DA370" s="28"/>
      <c r="DB370" s="28"/>
      <c r="DC370" s="28"/>
      <c r="DD370" s="28"/>
      <c r="DE370" s="28"/>
      <c r="DF370" s="28"/>
      <c r="DG370" s="28"/>
      <c r="DH370" s="28"/>
      <c r="DI370" s="28"/>
      <c r="DJ370" s="28"/>
      <c r="DK370" s="29"/>
      <c r="DL370" s="29"/>
      <c r="DM370" s="29"/>
      <c r="DN370" s="29"/>
      <c r="DO370" s="29"/>
      <c r="DP370" s="29"/>
      <c r="DQ370" s="29"/>
      <c r="DR370" s="29"/>
      <c r="DS370" s="22"/>
      <c r="DT370" s="22"/>
      <c r="DU370" s="22"/>
      <c r="DV370" s="22"/>
    </row>
    <row r="371" spans="61:126" x14ac:dyDescent="0.25">
      <c r="BI371" s="22"/>
      <c r="BJ371" s="22"/>
      <c r="BK371" s="22"/>
      <c r="BL371" s="22"/>
      <c r="BM371" s="66"/>
      <c r="BN371" s="66"/>
      <c r="BO371" s="23"/>
      <c r="BP371" s="23"/>
      <c r="BQ371" s="23"/>
      <c r="BR371" s="24"/>
      <c r="BS371" s="24"/>
      <c r="BT371" s="68"/>
      <c r="BU371" s="68"/>
      <c r="BV371" s="25"/>
      <c r="BW371" s="26"/>
      <c r="BX371" s="27"/>
      <c r="BY371" s="28"/>
      <c r="BZ371" s="28"/>
      <c r="CA371" s="28"/>
      <c r="CB371" s="28"/>
      <c r="CC371" s="28"/>
      <c r="CD371" s="28"/>
      <c r="CE371" s="28"/>
      <c r="CF371" s="28"/>
      <c r="CG371" s="28"/>
      <c r="CH371" s="28"/>
      <c r="CI371" s="28"/>
      <c r="CJ371" s="28"/>
      <c r="CK371" s="28"/>
      <c r="CL371" s="28"/>
      <c r="CM371" s="28"/>
      <c r="CN371" s="28"/>
      <c r="CO371" s="28"/>
      <c r="CP371" s="28"/>
      <c r="CQ371" s="28"/>
      <c r="CR371" s="28"/>
      <c r="CS371" s="28"/>
      <c r="CT371" s="28"/>
      <c r="CU371" s="28"/>
      <c r="CV371" s="28"/>
      <c r="CW371" s="28"/>
      <c r="CX371" s="28"/>
      <c r="CY371" s="28"/>
      <c r="CZ371" s="28"/>
      <c r="DA371" s="28"/>
      <c r="DB371" s="28"/>
      <c r="DC371" s="28"/>
      <c r="DD371" s="28"/>
      <c r="DE371" s="28"/>
      <c r="DF371" s="28"/>
      <c r="DG371" s="28"/>
      <c r="DH371" s="28"/>
      <c r="DI371" s="28"/>
      <c r="DJ371" s="28"/>
      <c r="DK371" s="29"/>
      <c r="DL371" s="29"/>
      <c r="DM371" s="29"/>
      <c r="DN371" s="29"/>
      <c r="DO371" s="29"/>
      <c r="DP371" s="29"/>
      <c r="DQ371" s="29"/>
      <c r="DR371" s="29"/>
      <c r="DS371" s="22"/>
      <c r="DT371" s="22"/>
      <c r="DU371" s="22"/>
      <c r="DV371" s="22"/>
    </row>
    <row r="372" spans="61:126" x14ac:dyDescent="0.25">
      <c r="BI372" s="22"/>
      <c r="BJ372" s="22"/>
      <c r="BK372" s="22"/>
      <c r="BL372" s="22"/>
      <c r="BM372" s="66"/>
      <c r="BN372" s="66"/>
      <c r="BO372" s="23"/>
      <c r="BP372" s="23"/>
      <c r="BQ372" s="23"/>
      <c r="BR372" s="24"/>
      <c r="BS372" s="24"/>
      <c r="BT372" s="68"/>
      <c r="BU372" s="68"/>
      <c r="BV372" s="25"/>
      <c r="BW372" s="26"/>
      <c r="BX372" s="27"/>
      <c r="BY372" s="28"/>
      <c r="BZ372" s="28"/>
      <c r="CA372" s="28"/>
      <c r="CB372" s="28"/>
      <c r="CC372" s="28"/>
      <c r="CD372" s="28"/>
      <c r="CE372" s="28"/>
      <c r="CF372" s="28"/>
      <c r="CG372" s="28"/>
      <c r="CH372" s="28"/>
      <c r="CI372" s="28"/>
      <c r="CJ372" s="28"/>
      <c r="CK372" s="28"/>
      <c r="CL372" s="28"/>
      <c r="CM372" s="28"/>
      <c r="CN372" s="28"/>
      <c r="CO372" s="28"/>
      <c r="CP372" s="28"/>
      <c r="CQ372" s="28"/>
      <c r="CR372" s="28"/>
      <c r="CS372" s="28"/>
      <c r="CT372" s="28"/>
      <c r="CU372" s="28"/>
      <c r="CV372" s="28"/>
      <c r="CW372" s="28"/>
      <c r="CX372" s="28"/>
      <c r="CY372" s="28"/>
      <c r="CZ372" s="28"/>
      <c r="DA372" s="28"/>
      <c r="DB372" s="28"/>
      <c r="DC372" s="28"/>
      <c r="DD372" s="28"/>
      <c r="DE372" s="28"/>
      <c r="DF372" s="28"/>
      <c r="DG372" s="28"/>
      <c r="DH372" s="28"/>
      <c r="DI372" s="28"/>
      <c r="DJ372" s="28"/>
      <c r="DK372" s="29"/>
      <c r="DL372" s="29"/>
      <c r="DM372" s="29"/>
      <c r="DN372" s="29"/>
      <c r="DO372" s="29"/>
      <c r="DP372" s="29"/>
      <c r="DQ372" s="29"/>
      <c r="DR372" s="29"/>
      <c r="DS372" s="22"/>
      <c r="DT372" s="22"/>
      <c r="DU372" s="22"/>
      <c r="DV372" s="22"/>
    </row>
    <row r="373" spans="61:126" x14ac:dyDescent="0.25">
      <c r="BI373" s="22"/>
      <c r="BJ373" s="22"/>
      <c r="BK373" s="22"/>
      <c r="BL373" s="22"/>
      <c r="BM373" s="66"/>
      <c r="BN373" s="66"/>
      <c r="BO373" s="23"/>
      <c r="BP373" s="23"/>
      <c r="BQ373" s="23"/>
      <c r="BR373" s="24"/>
      <c r="BS373" s="24"/>
      <c r="BT373" s="68"/>
      <c r="BU373" s="68"/>
      <c r="BV373" s="25"/>
      <c r="BW373" s="26"/>
      <c r="BX373" s="27"/>
      <c r="BY373" s="28"/>
      <c r="BZ373" s="28"/>
      <c r="CA373" s="28"/>
      <c r="CB373" s="28"/>
      <c r="CC373" s="28"/>
      <c r="CD373" s="28"/>
      <c r="CE373" s="28"/>
      <c r="CF373" s="28"/>
      <c r="CG373" s="28"/>
      <c r="CH373" s="28"/>
      <c r="CI373" s="28"/>
      <c r="CJ373" s="28"/>
      <c r="CK373" s="28"/>
      <c r="CL373" s="28"/>
      <c r="CM373" s="28"/>
      <c r="CN373" s="28"/>
      <c r="CO373" s="28"/>
      <c r="CP373" s="28"/>
      <c r="CQ373" s="28"/>
      <c r="CR373" s="28"/>
      <c r="CS373" s="28"/>
      <c r="CT373" s="28"/>
      <c r="CU373" s="28"/>
      <c r="CV373" s="28"/>
      <c r="CW373" s="28"/>
      <c r="CX373" s="28"/>
      <c r="CY373" s="28"/>
      <c r="CZ373" s="28"/>
      <c r="DA373" s="28"/>
      <c r="DB373" s="28"/>
      <c r="DC373" s="28"/>
      <c r="DD373" s="28"/>
      <c r="DE373" s="28"/>
      <c r="DF373" s="28"/>
      <c r="DG373" s="28"/>
      <c r="DH373" s="28"/>
      <c r="DI373" s="28"/>
      <c r="DJ373" s="28"/>
      <c r="DK373" s="29"/>
      <c r="DL373" s="29"/>
      <c r="DM373" s="29"/>
      <c r="DN373" s="29"/>
      <c r="DO373" s="29"/>
      <c r="DP373" s="29"/>
      <c r="DQ373" s="29"/>
      <c r="DR373" s="29"/>
      <c r="DS373" s="22"/>
      <c r="DT373" s="22"/>
      <c r="DU373" s="22"/>
      <c r="DV373" s="22"/>
    </row>
    <row r="374" spans="61:126" x14ac:dyDescent="0.25">
      <c r="BI374" s="22"/>
      <c r="BJ374" s="22"/>
      <c r="BK374" s="22"/>
      <c r="BL374" s="22"/>
      <c r="BM374" s="66"/>
      <c r="BN374" s="66"/>
      <c r="BO374" s="23"/>
      <c r="BP374" s="23"/>
      <c r="BQ374" s="23"/>
      <c r="BR374" s="24"/>
      <c r="BS374" s="24"/>
      <c r="BT374" s="68"/>
      <c r="BU374" s="68"/>
      <c r="BV374" s="25"/>
      <c r="BW374" s="26"/>
      <c r="BX374" s="27"/>
      <c r="BY374" s="28"/>
      <c r="BZ374" s="28"/>
      <c r="CA374" s="28"/>
      <c r="CB374" s="28"/>
      <c r="CC374" s="28"/>
      <c r="CD374" s="28"/>
      <c r="CE374" s="28"/>
      <c r="CF374" s="28"/>
      <c r="CG374" s="28"/>
      <c r="CH374" s="28"/>
      <c r="CI374" s="28"/>
      <c r="CJ374" s="28"/>
      <c r="CK374" s="28"/>
      <c r="CL374" s="28"/>
      <c r="CM374" s="28"/>
      <c r="CN374" s="28"/>
      <c r="CO374" s="28"/>
      <c r="CP374" s="28"/>
      <c r="CQ374" s="28"/>
      <c r="CR374" s="28"/>
      <c r="CS374" s="28"/>
      <c r="CT374" s="28"/>
      <c r="CU374" s="28"/>
      <c r="CV374" s="28"/>
      <c r="CW374" s="28"/>
      <c r="CX374" s="28"/>
      <c r="CY374" s="28"/>
      <c r="CZ374" s="28"/>
      <c r="DA374" s="28"/>
      <c r="DB374" s="28"/>
      <c r="DC374" s="28"/>
      <c r="DD374" s="28"/>
      <c r="DE374" s="28"/>
      <c r="DF374" s="28"/>
      <c r="DG374" s="28"/>
      <c r="DH374" s="28"/>
      <c r="DI374" s="28"/>
      <c r="DJ374" s="28"/>
      <c r="DK374" s="29"/>
      <c r="DL374" s="29"/>
      <c r="DM374" s="29"/>
      <c r="DN374" s="29"/>
      <c r="DO374" s="29"/>
      <c r="DP374" s="29"/>
      <c r="DQ374" s="29"/>
      <c r="DR374" s="29"/>
      <c r="DS374" s="22"/>
      <c r="DT374" s="22"/>
      <c r="DU374" s="22"/>
      <c r="DV374" s="22"/>
    </row>
    <row r="375" spans="61:126" x14ac:dyDescent="0.25">
      <c r="BI375" s="22"/>
      <c r="BJ375" s="22"/>
      <c r="BK375" s="22"/>
      <c r="BL375" s="22"/>
      <c r="BM375" s="66"/>
      <c r="BN375" s="66"/>
      <c r="BO375" s="23"/>
      <c r="BP375" s="23"/>
      <c r="BQ375" s="23"/>
      <c r="BR375" s="24"/>
      <c r="BS375" s="24"/>
      <c r="BT375" s="68"/>
      <c r="BU375" s="68"/>
      <c r="BV375" s="25"/>
      <c r="BW375" s="26"/>
      <c r="BX375" s="27"/>
      <c r="BY375" s="28"/>
      <c r="BZ375" s="28"/>
      <c r="CA375" s="28"/>
      <c r="CB375" s="28"/>
      <c r="CC375" s="28"/>
      <c r="CD375" s="28"/>
      <c r="CE375" s="28"/>
      <c r="CF375" s="28"/>
      <c r="CG375" s="28"/>
      <c r="CH375" s="28"/>
      <c r="CI375" s="28"/>
      <c r="CJ375" s="28"/>
      <c r="CK375" s="28"/>
      <c r="CL375" s="28"/>
      <c r="CM375" s="28"/>
      <c r="CN375" s="28"/>
      <c r="CO375" s="28"/>
      <c r="CP375" s="28"/>
      <c r="CQ375" s="28"/>
      <c r="CR375" s="28"/>
      <c r="CS375" s="28"/>
      <c r="CT375" s="28"/>
      <c r="CU375" s="28"/>
      <c r="CV375" s="28"/>
      <c r="CW375" s="28"/>
      <c r="CX375" s="28"/>
      <c r="CY375" s="28"/>
      <c r="CZ375" s="28"/>
      <c r="DA375" s="28"/>
      <c r="DB375" s="28"/>
      <c r="DC375" s="28"/>
      <c r="DD375" s="28"/>
      <c r="DE375" s="28"/>
      <c r="DF375" s="28"/>
      <c r="DG375" s="28"/>
      <c r="DH375" s="28"/>
      <c r="DI375" s="28"/>
      <c r="DJ375" s="28"/>
      <c r="DK375" s="29"/>
      <c r="DL375" s="29"/>
      <c r="DM375" s="29"/>
      <c r="DN375" s="29"/>
      <c r="DO375" s="29"/>
      <c r="DP375" s="29"/>
      <c r="DQ375" s="29"/>
      <c r="DR375" s="29"/>
      <c r="DS375" s="22"/>
      <c r="DT375" s="22"/>
      <c r="DU375" s="22"/>
      <c r="DV375" s="22"/>
    </row>
    <row r="376" spans="61:126" x14ac:dyDescent="0.25">
      <c r="BI376" s="22"/>
      <c r="BJ376" s="22"/>
      <c r="BK376" s="22"/>
      <c r="BL376" s="22"/>
      <c r="BM376" s="66"/>
      <c r="BN376" s="66"/>
      <c r="BO376" s="23"/>
      <c r="BP376" s="23"/>
      <c r="BQ376" s="23"/>
      <c r="BR376" s="24"/>
      <c r="BS376" s="24"/>
      <c r="BT376" s="68"/>
      <c r="BU376" s="68"/>
      <c r="BV376" s="25"/>
      <c r="BW376" s="26"/>
      <c r="BX376" s="27"/>
      <c r="BY376" s="28"/>
      <c r="BZ376" s="28"/>
      <c r="CA376" s="28"/>
      <c r="CB376" s="28"/>
      <c r="CC376" s="28"/>
      <c r="CD376" s="28"/>
      <c r="CE376" s="28"/>
      <c r="CF376" s="28"/>
      <c r="CG376" s="28"/>
      <c r="CH376" s="28"/>
      <c r="CI376" s="28"/>
      <c r="CJ376" s="28"/>
      <c r="CK376" s="28"/>
      <c r="CL376" s="28"/>
      <c r="CM376" s="28"/>
      <c r="CN376" s="28"/>
      <c r="CO376" s="28"/>
      <c r="CP376" s="28"/>
      <c r="CQ376" s="28"/>
      <c r="CR376" s="28"/>
      <c r="CS376" s="28"/>
      <c r="CT376" s="28"/>
      <c r="CU376" s="28"/>
      <c r="CV376" s="28"/>
      <c r="CW376" s="28"/>
      <c r="CX376" s="28"/>
      <c r="CY376" s="28"/>
      <c r="CZ376" s="28"/>
      <c r="DA376" s="28"/>
      <c r="DB376" s="28"/>
      <c r="DC376" s="28"/>
      <c r="DD376" s="28"/>
      <c r="DE376" s="28"/>
      <c r="DF376" s="28"/>
      <c r="DG376" s="28"/>
      <c r="DH376" s="28"/>
      <c r="DI376" s="28"/>
      <c r="DJ376" s="28"/>
      <c r="DK376" s="29"/>
      <c r="DL376" s="29"/>
      <c r="DM376" s="29"/>
      <c r="DN376" s="29"/>
      <c r="DO376" s="29"/>
      <c r="DP376" s="29"/>
      <c r="DQ376" s="29"/>
      <c r="DR376" s="29"/>
      <c r="DS376" s="22"/>
      <c r="DT376" s="22"/>
      <c r="DU376" s="22"/>
      <c r="DV376" s="22"/>
    </row>
    <row r="377" spans="61:126" x14ac:dyDescent="0.25">
      <c r="BI377" s="22"/>
      <c r="BJ377" s="22"/>
      <c r="BK377" s="22"/>
      <c r="BL377" s="22"/>
      <c r="BM377" s="66"/>
      <c r="BN377" s="66"/>
      <c r="BO377" s="23"/>
      <c r="BP377" s="23"/>
      <c r="BQ377" s="23"/>
      <c r="BR377" s="24"/>
      <c r="BS377" s="24"/>
      <c r="BT377" s="68"/>
      <c r="BU377" s="68"/>
      <c r="BV377" s="25"/>
      <c r="BW377" s="26"/>
      <c r="BX377" s="27"/>
      <c r="BY377" s="28"/>
      <c r="BZ377" s="28"/>
      <c r="CA377" s="28"/>
      <c r="CB377" s="28"/>
      <c r="CC377" s="28"/>
      <c r="CD377" s="28"/>
      <c r="CE377" s="28"/>
      <c r="CF377" s="28"/>
      <c r="CG377" s="28"/>
      <c r="CH377" s="28"/>
      <c r="CI377" s="28"/>
      <c r="CJ377" s="28"/>
      <c r="CK377" s="28"/>
      <c r="CL377" s="28"/>
      <c r="CM377" s="28"/>
      <c r="CN377" s="28"/>
      <c r="CO377" s="28"/>
      <c r="CP377" s="28"/>
      <c r="CQ377" s="28"/>
      <c r="CR377" s="28"/>
      <c r="CS377" s="28"/>
      <c r="CT377" s="28"/>
      <c r="CU377" s="28"/>
      <c r="CV377" s="28"/>
      <c r="CW377" s="28"/>
      <c r="CX377" s="28"/>
      <c r="CY377" s="28"/>
      <c r="CZ377" s="28"/>
      <c r="DA377" s="28"/>
      <c r="DB377" s="28"/>
      <c r="DC377" s="28"/>
      <c r="DD377" s="28"/>
      <c r="DE377" s="28"/>
      <c r="DF377" s="28"/>
      <c r="DG377" s="28"/>
      <c r="DH377" s="28"/>
      <c r="DI377" s="28"/>
      <c r="DJ377" s="28"/>
      <c r="DK377" s="29"/>
      <c r="DL377" s="29"/>
      <c r="DM377" s="29"/>
      <c r="DN377" s="29"/>
      <c r="DO377" s="29"/>
      <c r="DP377" s="29"/>
      <c r="DQ377" s="29"/>
      <c r="DR377" s="29"/>
      <c r="DS377" s="22"/>
      <c r="DT377" s="22"/>
      <c r="DU377" s="22"/>
      <c r="DV377" s="22"/>
    </row>
    <row r="378" spans="61:126" x14ac:dyDescent="0.25">
      <c r="BI378" s="22"/>
      <c r="BJ378" s="22"/>
      <c r="BK378" s="22"/>
      <c r="BL378" s="22"/>
      <c r="BM378" s="66"/>
      <c r="BN378" s="66"/>
      <c r="BO378" s="23"/>
      <c r="BP378" s="23"/>
      <c r="BQ378" s="23"/>
      <c r="BR378" s="24"/>
      <c r="BS378" s="24"/>
      <c r="BT378" s="68"/>
      <c r="BU378" s="68"/>
      <c r="BV378" s="25"/>
      <c r="BW378" s="26"/>
      <c r="BX378" s="27"/>
      <c r="BY378" s="28"/>
      <c r="BZ378" s="28"/>
      <c r="CA378" s="28"/>
      <c r="CB378" s="28"/>
      <c r="CC378" s="28"/>
      <c r="CD378" s="28"/>
      <c r="CE378" s="28"/>
      <c r="CF378" s="28"/>
      <c r="CG378" s="28"/>
      <c r="CH378" s="28"/>
      <c r="CI378" s="28"/>
      <c r="CJ378" s="28"/>
      <c r="CK378" s="28"/>
      <c r="CL378" s="28"/>
      <c r="CM378" s="28"/>
      <c r="CN378" s="28"/>
      <c r="CO378" s="28"/>
      <c r="CP378" s="28"/>
      <c r="CQ378" s="28"/>
      <c r="CR378" s="28"/>
      <c r="CS378" s="28"/>
      <c r="CT378" s="28"/>
      <c r="CU378" s="28"/>
      <c r="CV378" s="28"/>
      <c r="CW378" s="28"/>
      <c r="CX378" s="28"/>
      <c r="CY378" s="28"/>
      <c r="CZ378" s="28"/>
      <c r="DA378" s="28"/>
      <c r="DB378" s="28"/>
      <c r="DC378" s="28"/>
      <c r="DD378" s="28"/>
      <c r="DE378" s="28"/>
      <c r="DF378" s="28"/>
      <c r="DG378" s="28"/>
      <c r="DH378" s="28"/>
      <c r="DI378" s="28"/>
      <c r="DJ378" s="28"/>
      <c r="DK378" s="29"/>
      <c r="DL378" s="29"/>
      <c r="DM378" s="29"/>
      <c r="DN378" s="29"/>
      <c r="DO378" s="29"/>
      <c r="DP378" s="29"/>
      <c r="DQ378" s="29"/>
      <c r="DR378" s="29"/>
      <c r="DS378" s="22"/>
      <c r="DT378" s="22"/>
      <c r="DU378" s="22"/>
      <c r="DV378" s="22"/>
    </row>
    <row r="379" spans="61:126" x14ac:dyDescent="0.25">
      <c r="BI379" s="22"/>
      <c r="BJ379" s="22"/>
      <c r="BK379" s="22"/>
      <c r="BL379" s="22"/>
      <c r="BM379" s="66"/>
      <c r="BN379" s="66"/>
      <c r="BO379" s="23"/>
      <c r="BP379" s="23"/>
      <c r="BQ379" s="23"/>
      <c r="BR379" s="24"/>
      <c r="BS379" s="24"/>
      <c r="BT379" s="68"/>
      <c r="BU379" s="68"/>
      <c r="BV379" s="25"/>
      <c r="BW379" s="26"/>
      <c r="BX379" s="27"/>
      <c r="BY379" s="28"/>
      <c r="BZ379" s="28"/>
      <c r="CA379" s="28"/>
      <c r="CB379" s="28"/>
      <c r="CC379" s="28"/>
      <c r="CD379" s="28"/>
      <c r="CE379" s="28"/>
      <c r="CF379" s="28"/>
      <c r="CG379" s="28"/>
      <c r="CH379" s="28"/>
      <c r="CI379" s="28"/>
      <c r="CJ379" s="28"/>
      <c r="CK379" s="28"/>
      <c r="CL379" s="28"/>
      <c r="CM379" s="28"/>
      <c r="CN379" s="28"/>
      <c r="CO379" s="28"/>
      <c r="CP379" s="28"/>
      <c r="CQ379" s="28"/>
      <c r="CR379" s="28"/>
      <c r="CS379" s="28"/>
      <c r="CT379" s="28"/>
      <c r="CU379" s="28"/>
      <c r="CV379" s="28"/>
      <c r="CW379" s="28"/>
      <c r="CX379" s="28"/>
      <c r="CY379" s="28"/>
      <c r="CZ379" s="28"/>
      <c r="DA379" s="28"/>
      <c r="DB379" s="28"/>
      <c r="DC379" s="28"/>
      <c r="DD379" s="28"/>
      <c r="DE379" s="28"/>
      <c r="DF379" s="28"/>
      <c r="DG379" s="28"/>
      <c r="DH379" s="28"/>
      <c r="DI379" s="28"/>
      <c r="DJ379" s="28"/>
      <c r="DK379" s="29"/>
      <c r="DL379" s="29"/>
      <c r="DM379" s="29"/>
      <c r="DN379" s="29"/>
      <c r="DO379" s="29"/>
      <c r="DP379" s="29"/>
      <c r="DQ379" s="29"/>
      <c r="DR379" s="29"/>
      <c r="DS379" s="22"/>
      <c r="DT379" s="22"/>
      <c r="DU379" s="22"/>
      <c r="DV379" s="22"/>
    </row>
    <row r="380" spans="61:126" x14ac:dyDescent="0.25">
      <c r="BI380" s="22"/>
      <c r="BJ380" s="22"/>
      <c r="BK380" s="22"/>
      <c r="BL380" s="22"/>
      <c r="BM380" s="66"/>
      <c r="BN380" s="66"/>
      <c r="BO380" s="23"/>
      <c r="BP380" s="23"/>
      <c r="BQ380" s="23"/>
      <c r="BR380" s="24"/>
      <c r="BS380" s="24"/>
      <c r="BT380" s="68"/>
      <c r="BU380" s="68"/>
      <c r="BV380" s="25"/>
      <c r="BW380" s="26"/>
      <c r="BX380" s="27"/>
      <c r="BY380" s="28"/>
      <c r="BZ380" s="28"/>
      <c r="CA380" s="28"/>
      <c r="CB380" s="28"/>
      <c r="CC380" s="28"/>
      <c r="CD380" s="28"/>
      <c r="CE380" s="28"/>
      <c r="CF380" s="28"/>
      <c r="CG380" s="28"/>
      <c r="CH380" s="28"/>
      <c r="CI380" s="28"/>
      <c r="CJ380" s="28"/>
      <c r="CK380" s="28"/>
      <c r="CL380" s="28"/>
      <c r="CM380" s="28"/>
      <c r="CN380" s="28"/>
      <c r="CO380" s="28"/>
      <c r="CP380" s="28"/>
      <c r="CQ380" s="28"/>
      <c r="CR380" s="28"/>
      <c r="CS380" s="28"/>
      <c r="CT380" s="28"/>
      <c r="CU380" s="28"/>
      <c r="CV380" s="28"/>
      <c r="CW380" s="28"/>
      <c r="CX380" s="28"/>
      <c r="CY380" s="28"/>
      <c r="CZ380" s="28"/>
      <c r="DA380" s="28"/>
      <c r="DB380" s="28"/>
      <c r="DC380" s="28"/>
      <c r="DD380" s="28"/>
      <c r="DE380" s="28"/>
      <c r="DF380" s="28"/>
      <c r="DG380" s="28"/>
      <c r="DH380" s="28"/>
      <c r="DI380" s="28"/>
      <c r="DJ380" s="28"/>
      <c r="DK380" s="29"/>
      <c r="DL380" s="29"/>
      <c r="DM380" s="29"/>
      <c r="DN380" s="29"/>
      <c r="DO380" s="29"/>
      <c r="DP380" s="29"/>
      <c r="DQ380" s="29"/>
      <c r="DR380" s="29"/>
      <c r="DS380" s="22"/>
      <c r="DT380" s="22"/>
      <c r="DU380" s="22"/>
      <c r="DV380" s="22"/>
    </row>
    <row r="381" spans="61:126" x14ac:dyDescent="0.25">
      <c r="BI381" s="22"/>
      <c r="BJ381" s="22"/>
      <c r="BK381" s="22"/>
      <c r="BL381" s="22"/>
      <c r="BM381" s="66"/>
      <c r="BN381" s="66"/>
      <c r="BO381" s="23"/>
      <c r="BP381" s="23"/>
      <c r="BQ381" s="23"/>
      <c r="BR381" s="24"/>
      <c r="BS381" s="24"/>
      <c r="BT381" s="68"/>
      <c r="BU381" s="68"/>
      <c r="BV381" s="25"/>
      <c r="BW381" s="26"/>
      <c r="BX381" s="27"/>
      <c r="BY381" s="28"/>
      <c r="BZ381" s="28"/>
      <c r="CA381" s="28"/>
      <c r="CB381" s="28"/>
      <c r="CC381" s="28"/>
      <c r="CD381" s="28"/>
      <c r="CE381" s="28"/>
      <c r="CF381" s="28"/>
      <c r="CG381" s="28"/>
      <c r="CH381" s="28"/>
      <c r="CI381" s="28"/>
      <c r="CJ381" s="28"/>
      <c r="CK381" s="28"/>
      <c r="CL381" s="28"/>
      <c r="CM381" s="28"/>
      <c r="CN381" s="28"/>
      <c r="CO381" s="28"/>
      <c r="CP381" s="28"/>
      <c r="CQ381" s="28"/>
      <c r="CR381" s="28"/>
      <c r="CS381" s="28"/>
      <c r="CT381" s="28"/>
      <c r="CU381" s="28"/>
      <c r="CV381" s="28"/>
      <c r="CW381" s="28"/>
      <c r="CX381" s="28"/>
      <c r="CY381" s="28"/>
      <c r="CZ381" s="28"/>
      <c r="DA381" s="28"/>
      <c r="DB381" s="28"/>
      <c r="DC381" s="28"/>
      <c r="DD381" s="28"/>
      <c r="DE381" s="28"/>
      <c r="DF381" s="28"/>
      <c r="DG381" s="28"/>
      <c r="DH381" s="28"/>
      <c r="DI381" s="28"/>
      <c r="DJ381" s="28"/>
      <c r="DK381" s="29"/>
      <c r="DL381" s="29"/>
      <c r="DM381" s="29"/>
      <c r="DN381" s="29"/>
      <c r="DO381" s="29"/>
      <c r="DP381" s="29"/>
      <c r="DQ381" s="29"/>
      <c r="DR381" s="29"/>
      <c r="DS381" s="22"/>
      <c r="DT381" s="22"/>
      <c r="DU381" s="22"/>
      <c r="DV381" s="22"/>
    </row>
    <row r="382" spans="61:126" x14ac:dyDescent="0.25">
      <c r="BI382" s="22"/>
      <c r="BJ382" s="22"/>
      <c r="BK382" s="22"/>
      <c r="BL382" s="22"/>
      <c r="BM382" s="66"/>
      <c r="BN382" s="66"/>
      <c r="BO382" s="23"/>
      <c r="BP382" s="23"/>
      <c r="BQ382" s="23"/>
      <c r="BR382" s="24"/>
      <c r="BS382" s="24"/>
      <c r="BT382" s="68"/>
      <c r="BU382" s="68"/>
      <c r="BV382" s="25"/>
      <c r="BW382" s="26"/>
      <c r="BX382" s="27"/>
      <c r="BY382" s="28"/>
      <c r="BZ382" s="28"/>
      <c r="CA382" s="28"/>
      <c r="CB382" s="28"/>
      <c r="CC382" s="28"/>
      <c r="CD382" s="28"/>
      <c r="CE382" s="28"/>
      <c r="CF382" s="28"/>
      <c r="CG382" s="28"/>
      <c r="CH382" s="28"/>
      <c r="CI382" s="28"/>
      <c r="CJ382" s="28"/>
      <c r="CK382" s="28"/>
      <c r="CL382" s="28"/>
      <c r="CM382" s="28"/>
      <c r="CN382" s="28"/>
      <c r="CO382" s="28"/>
      <c r="CP382" s="28"/>
      <c r="CQ382" s="28"/>
      <c r="CR382" s="28"/>
      <c r="CS382" s="28"/>
      <c r="CT382" s="28"/>
      <c r="CU382" s="28"/>
      <c r="CV382" s="28"/>
      <c r="CW382" s="28"/>
      <c r="CX382" s="28"/>
      <c r="CY382" s="28"/>
      <c r="CZ382" s="28"/>
      <c r="DA382" s="28"/>
      <c r="DB382" s="28"/>
      <c r="DC382" s="28"/>
      <c r="DD382" s="28"/>
      <c r="DE382" s="28"/>
      <c r="DF382" s="28"/>
      <c r="DG382" s="28"/>
      <c r="DH382" s="28"/>
      <c r="DI382" s="28"/>
      <c r="DJ382" s="28"/>
      <c r="DK382" s="29"/>
      <c r="DL382" s="29"/>
      <c r="DM382" s="29"/>
      <c r="DN382" s="29"/>
      <c r="DO382" s="29"/>
      <c r="DP382" s="29"/>
      <c r="DQ382" s="29"/>
      <c r="DR382" s="29"/>
      <c r="DS382" s="22"/>
      <c r="DT382" s="22"/>
      <c r="DU382" s="22"/>
      <c r="DV382" s="22"/>
    </row>
    <row r="383" spans="61:126" x14ac:dyDescent="0.25">
      <c r="BI383" s="22"/>
      <c r="BJ383" s="22"/>
      <c r="BK383" s="22"/>
      <c r="BL383" s="22"/>
      <c r="BM383" s="66"/>
      <c r="BN383" s="66"/>
      <c r="BO383" s="23"/>
      <c r="BP383" s="23"/>
      <c r="BQ383" s="23"/>
      <c r="BR383" s="24"/>
      <c r="BS383" s="24"/>
      <c r="BT383" s="68"/>
      <c r="BU383" s="68"/>
      <c r="BV383" s="25"/>
      <c r="BW383" s="26"/>
      <c r="BX383" s="27"/>
      <c r="BY383" s="28"/>
      <c r="BZ383" s="28"/>
      <c r="CA383" s="28"/>
      <c r="CB383" s="28"/>
      <c r="CC383" s="28"/>
      <c r="CD383" s="28"/>
      <c r="CE383" s="28"/>
      <c r="CF383" s="28"/>
      <c r="CG383" s="28"/>
      <c r="CH383" s="28"/>
      <c r="CI383" s="28"/>
      <c r="CJ383" s="28"/>
      <c r="CK383" s="28"/>
      <c r="CL383" s="28"/>
      <c r="CM383" s="28"/>
      <c r="CN383" s="28"/>
      <c r="CO383" s="28"/>
      <c r="CP383" s="28"/>
      <c r="CQ383" s="28"/>
      <c r="CR383" s="28"/>
      <c r="CS383" s="28"/>
      <c r="CT383" s="28"/>
      <c r="CU383" s="28"/>
      <c r="CV383" s="28"/>
      <c r="CW383" s="28"/>
      <c r="CX383" s="28"/>
      <c r="CY383" s="28"/>
      <c r="CZ383" s="28"/>
      <c r="DA383" s="28"/>
      <c r="DB383" s="28"/>
      <c r="DC383" s="28"/>
      <c r="DD383" s="28"/>
      <c r="DE383" s="28"/>
      <c r="DF383" s="28"/>
      <c r="DG383" s="28"/>
      <c r="DH383" s="28"/>
      <c r="DI383" s="28"/>
      <c r="DJ383" s="28"/>
      <c r="DK383" s="29"/>
      <c r="DL383" s="29"/>
      <c r="DM383" s="29"/>
      <c r="DN383" s="29"/>
      <c r="DO383" s="29"/>
      <c r="DP383" s="29"/>
      <c r="DQ383" s="29"/>
      <c r="DR383" s="29"/>
      <c r="DS383" s="22"/>
      <c r="DT383" s="22"/>
      <c r="DU383" s="22"/>
      <c r="DV383" s="22"/>
    </row>
    <row r="384" spans="61:126" x14ac:dyDescent="0.25">
      <c r="BI384" s="22"/>
      <c r="BJ384" s="22"/>
      <c r="BK384" s="22"/>
      <c r="BL384" s="22"/>
      <c r="BM384" s="66"/>
      <c r="BN384" s="66"/>
      <c r="BO384" s="23"/>
      <c r="BP384" s="23"/>
      <c r="BQ384" s="23"/>
      <c r="BR384" s="24"/>
      <c r="BS384" s="24"/>
      <c r="BT384" s="68"/>
      <c r="BU384" s="68"/>
      <c r="BV384" s="25"/>
      <c r="BW384" s="26"/>
      <c r="BX384" s="27"/>
      <c r="BY384" s="28"/>
      <c r="BZ384" s="28"/>
      <c r="CA384" s="28"/>
      <c r="CB384" s="28"/>
      <c r="CC384" s="28"/>
      <c r="CD384" s="28"/>
      <c r="CE384" s="28"/>
      <c r="CF384" s="28"/>
      <c r="CG384" s="28"/>
      <c r="CH384" s="28"/>
      <c r="CI384" s="28"/>
      <c r="CJ384" s="28"/>
      <c r="CK384" s="28"/>
      <c r="CL384" s="28"/>
      <c r="CM384" s="28"/>
      <c r="CN384" s="28"/>
      <c r="CO384" s="28"/>
      <c r="CP384" s="28"/>
      <c r="CQ384" s="28"/>
      <c r="CR384" s="28"/>
      <c r="CS384" s="28"/>
      <c r="CT384" s="28"/>
      <c r="CU384" s="28"/>
      <c r="CV384" s="28"/>
      <c r="CW384" s="28"/>
      <c r="CX384" s="28"/>
      <c r="CY384" s="28"/>
      <c r="CZ384" s="28"/>
      <c r="DA384" s="28"/>
      <c r="DB384" s="28"/>
      <c r="DC384" s="28"/>
      <c r="DD384" s="28"/>
      <c r="DE384" s="28"/>
      <c r="DF384" s="28"/>
      <c r="DG384" s="28"/>
      <c r="DH384" s="28"/>
      <c r="DI384" s="28"/>
      <c r="DJ384" s="28"/>
      <c r="DK384" s="29"/>
      <c r="DL384" s="29"/>
      <c r="DM384" s="29"/>
      <c r="DN384" s="29"/>
      <c r="DO384" s="29"/>
      <c r="DP384" s="29"/>
      <c r="DQ384" s="29"/>
      <c r="DR384" s="29"/>
      <c r="DS384" s="22"/>
      <c r="DT384" s="22"/>
      <c r="DU384" s="22"/>
      <c r="DV384" s="22"/>
    </row>
    <row r="385" spans="61:126" x14ac:dyDescent="0.25">
      <c r="BI385" s="22"/>
      <c r="BJ385" s="22"/>
      <c r="BK385" s="22"/>
      <c r="BL385" s="22"/>
      <c r="BM385" s="66"/>
      <c r="BN385" s="66"/>
      <c r="BO385" s="23"/>
      <c r="BP385" s="23"/>
      <c r="BQ385" s="23"/>
      <c r="BR385" s="24"/>
      <c r="BS385" s="24"/>
      <c r="BT385" s="68"/>
      <c r="BU385" s="68"/>
      <c r="BV385" s="25"/>
      <c r="BW385" s="26"/>
      <c r="BX385" s="27"/>
      <c r="BY385" s="28"/>
      <c r="BZ385" s="28"/>
      <c r="CA385" s="28"/>
      <c r="CB385" s="28"/>
      <c r="CC385" s="28"/>
      <c r="CD385" s="28"/>
      <c r="CE385" s="28"/>
      <c r="CF385" s="28"/>
      <c r="CG385" s="28"/>
      <c r="CH385" s="28"/>
      <c r="CI385" s="28"/>
      <c r="CJ385" s="28"/>
      <c r="CK385" s="28"/>
      <c r="CL385" s="28"/>
      <c r="CM385" s="28"/>
      <c r="CN385" s="28"/>
      <c r="CO385" s="28"/>
      <c r="CP385" s="28"/>
      <c r="CQ385" s="28"/>
      <c r="CR385" s="28"/>
      <c r="CS385" s="28"/>
      <c r="CT385" s="28"/>
      <c r="CU385" s="28"/>
      <c r="CV385" s="28"/>
      <c r="CW385" s="28"/>
      <c r="CX385" s="28"/>
      <c r="CY385" s="28"/>
      <c r="CZ385" s="28"/>
      <c r="DA385" s="28"/>
      <c r="DB385" s="28"/>
      <c r="DC385" s="28"/>
      <c r="DD385" s="28"/>
      <c r="DE385" s="28"/>
      <c r="DF385" s="28"/>
      <c r="DG385" s="28"/>
      <c r="DH385" s="28"/>
      <c r="DI385" s="28"/>
      <c r="DJ385" s="28"/>
      <c r="DK385" s="29"/>
      <c r="DL385" s="29"/>
      <c r="DM385" s="29"/>
      <c r="DN385" s="29"/>
      <c r="DO385" s="29"/>
      <c r="DP385" s="29"/>
      <c r="DQ385" s="29"/>
      <c r="DR385" s="29"/>
      <c r="DS385" s="22"/>
      <c r="DT385" s="22"/>
      <c r="DU385" s="22"/>
      <c r="DV385" s="22"/>
    </row>
    <row r="386" spans="61:126" x14ac:dyDescent="0.25">
      <c r="BI386" s="22"/>
      <c r="BJ386" s="22"/>
      <c r="BK386" s="22"/>
      <c r="BL386" s="22"/>
      <c r="BM386" s="66"/>
      <c r="BN386" s="66"/>
      <c r="BO386" s="23"/>
      <c r="BP386" s="23"/>
      <c r="BQ386" s="23"/>
      <c r="BR386" s="24"/>
      <c r="BS386" s="24"/>
      <c r="BT386" s="68"/>
      <c r="BU386" s="68"/>
      <c r="BV386" s="25"/>
      <c r="BW386" s="26"/>
      <c r="BX386" s="27"/>
      <c r="BY386" s="28"/>
      <c r="BZ386" s="28"/>
      <c r="CA386" s="28"/>
      <c r="CB386" s="28"/>
      <c r="CC386" s="28"/>
      <c r="CD386" s="28"/>
      <c r="CE386" s="28"/>
      <c r="CF386" s="28"/>
      <c r="CG386" s="28"/>
      <c r="CH386" s="28"/>
      <c r="CI386" s="28"/>
      <c r="CJ386" s="28"/>
      <c r="CK386" s="28"/>
      <c r="CL386" s="28"/>
      <c r="CM386" s="28"/>
      <c r="CN386" s="28"/>
      <c r="CO386" s="28"/>
      <c r="CP386" s="28"/>
      <c r="CQ386" s="28"/>
      <c r="CR386" s="28"/>
      <c r="CS386" s="28"/>
      <c r="CT386" s="28"/>
      <c r="CU386" s="28"/>
      <c r="CV386" s="28"/>
      <c r="CW386" s="28"/>
      <c r="CX386" s="28"/>
      <c r="CY386" s="28"/>
      <c r="CZ386" s="28"/>
      <c r="DA386" s="28"/>
      <c r="DB386" s="28"/>
      <c r="DC386" s="28"/>
      <c r="DD386" s="28"/>
      <c r="DE386" s="28"/>
      <c r="DF386" s="28"/>
      <c r="DG386" s="28"/>
      <c r="DH386" s="28"/>
      <c r="DI386" s="28"/>
      <c r="DJ386" s="28"/>
      <c r="DK386" s="29"/>
      <c r="DL386" s="29"/>
      <c r="DM386" s="29"/>
      <c r="DN386" s="29"/>
      <c r="DO386" s="29"/>
      <c r="DP386" s="29"/>
      <c r="DQ386" s="29"/>
      <c r="DR386" s="29"/>
      <c r="DS386" s="22"/>
      <c r="DT386" s="22"/>
      <c r="DU386" s="22"/>
      <c r="DV386" s="22"/>
    </row>
    <row r="387" spans="61:126" x14ac:dyDescent="0.25">
      <c r="BI387" s="22"/>
      <c r="BJ387" s="22"/>
      <c r="BK387" s="22"/>
      <c r="BL387" s="22"/>
      <c r="BM387" s="66"/>
      <c r="BN387" s="66"/>
      <c r="BO387" s="23"/>
      <c r="BP387" s="23"/>
      <c r="BQ387" s="23"/>
      <c r="BR387" s="24"/>
      <c r="BS387" s="24"/>
      <c r="BT387" s="68"/>
      <c r="BU387" s="68"/>
      <c r="BV387" s="25"/>
      <c r="BW387" s="26"/>
      <c r="BX387" s="27"/>
      <c r="BY387" s="28"/>
      <c r="BZ387" s="28"/>
      <c r="CA387" s="28"/>
      <c r="CB387" s="28"/>
      <c r="CC387" s="28"/>
      <c r="CD387" s="28"/>
      <c r="CE387" s="28"/>
      <c r="CF387" s="28"/>
      <c r="CG387" s="28"/>
      <c r="CH387" s="28"/>
      <c r="CI387" s="28"/>
      <c r="CJ387" s="28"/>
      <c r="CK387" s="28"/>
      <c r="CL387" s="28"/>
      <c r="CM387" s="28"/>
      <c r="CN387" s="28"/>
      <c r="CO387" s="28"/>
      <c r="CP387" s="28"/>
      <c r="CQ387" s="28"/>
      <c r="CR387" s="28"/>
      <c r="CS387" s="28"/>
      <c r="CT387" s="28"/>
      <c r="CU387" s="28"/>
      <c r="CV387" s="28"/>
      <c r="CW387" s="28"/>
      <c r="CX387" s="28"/>
      <c r="CY387" s="28"/>
      <c r="CZ387" s="28"/>
      <c r="DA387" s="28"/>
      <c r="DB387" s="28"/>
      <c r="DC387" s="28"/>
      <c r="DD387" s="28"/>
      <c r="DE387" s="28"/>
      <c r="DF387" s="28"/>
      <c r="DG387" s="28"/>
      <c r="DH387" s="28"/>
      <c r="DI387" s="28"/>
      <c r="DJ387" s="28"/>
      <c r="DK387" s="29"/>
      <c r="DL387" s="29"/>
      <c r="DM387" s="29"/>
      <c r="DN387" s="29"/>
      <c r="DO387" s="29"/>
      <c r="DP387" s="29"/>
      <c r="DQ387" s="29"/>
      <c r="DR387" s="29"/>
      <c r="DS387" s="22"/>
      <c r="DT387" s="22"/>
      <c r="DU387" s="22"/>
      <c r="DV387" s="22"/>
    </row>
    <row r="388" spans="61:126" x14ac:dyDescent="0.25">
      <c r="BI388" s="22"/>
      <c r="BJ388" s="22"/>
      <c r="BK388" s="22"/>
      <c r="BL388" s="22"/>
      <c r="BM388" s="66"/>
      <c r="BN388" s="66"/>
      <c r="BO388" s="23"/>
      <c r="BP388" s="23"/>
      <c r="BQ388" s="23"/>
      <c r="BR388" s="24"/>
      <c r="BS388" s="24"/>
      <c r="BT388" s="68"/>
      <c r="BU388" s="68"/>
      <c r="BV388" s="25"/>
      <c r="BW388" s="26"/>
      <c r="BX388" s="27"/>
      <c r="BY388" s="28"/>
      <c r="BZ388" s="28"/>
      <c r="CA388" s="28"/>
      <c r="CB388" s="28"/>
      <c r="CC388" s="28"/>
      <c r="CD388" s="28"/>
      <c r="CE388" s="28"/>
      <c r="CF388" s="28"/>
      <c r="CG388" s="28"/>
      <c r="CH388" s="28"/>
      <c r="CI388" s="28"/>
      <c r="CJ388" s="28"/>
      <c r="CK388" s="28"/>
      <c r="CL388" s="28"/>
      <c r="CM388" s="28"/>
      <c r="CN388" s="28"/>
      <c r="CO388" s="28"/>
      <c r="CP388" s="28"/>
      <c r="CQ388" s="28"/>
      <c r="CR388" s="28"/>
      <c r="CS388" s="28"/>
      <c r="CT388" s="28"/>
      <c r="CU388" s="28"/>
      <c r="CV388" s="28"/>
      <c r="CW388" s="28"/>
      <c r="CX388" s="28"/>
      <c r="CY388" s="28"/>
      <c r="CZ388" s="28"/>
      <c r="DA388" s="28"/>
      <c r="DB388" s="28"/>
      <c r="DC388" s="28"/>
      <c r="DD388" s="28"/>
      <c r="DE388" s="28"/>
      <c r="DF388" s="28"/>
      <c r="DG388" s="28"/>
      <c r="DH388" s="28"/>
      <c r="DI388" s="28"/>
      <c r="DJ388" s="28"/>
      <c r="DK388" s="29"/>
      <c r="DL388" s="29"/>
      <c r="DM388" s="29"/>
      <c r="DN388" s="29"/>
      <c r="DO388" s="29"/>
      <c r="DP388" s="29"/>
      <c r="DQ388" s="29"/>
      <c r="DR388" s="29"/>
      <c r="DS388" s="22"/>
      <c r="DT388" s="22"/>
      <c r="DU388" s="22"/>
      <c r="DV388" s="22"/>
    </row>
    <row r="389" spans="61:126" x14ac:dyDescent="0.25">
      <c r="BI389" s="22"/>
      <c r="BJ389" s="22"/>
      <c r="BK389" s="22"/>
      <c r="BL389" s="22"/>
      <c r="BM389" s="66"/>
      <c r="BN389" s="66"/>
      <c r="BO389" s="23"/>
      <c r="BP389" s="23"/>
      <c r="BQ389" s="23"/>
      <c r="BR389" s="24"/>
      <c r="BS389" s="24"/>
      <c r="BT389" s="68"/>
      <c r="BU389" s="68"/>
      <c r="BV389" s="25"/>
      <c r="BW389" s="26"/>
      <c r="BX389" s="27"/>
      <c r="BY389" s="28"/>
      <c r="BZ389" s="28"/>
      <c r="CA389" s="28"/>
      <c r="CB389" s="28"/>
      <c r="CC389" s="28"/>
      <c r="CD389" s="28"/>
      <c r="CE389" s="28"/>
      <c r="CF389" s="28"/>
      <c r="CG389" s="28"/>
      <c r="CH389" s="28"/>
      <c r="CI389" s="28"/>
      <c r="CJ389" s="28"/>
      <c r="CK389" s="28"/>
      <c r="CL389" s="28"/>
      <c r="CM389" s="28"/>
      <c r="CN389" s="28"/>
      <c r="CO389" s="28"/>
      <c r="CP389" s="28"/>
      <c r="CQ389" s="28"/>
      <c r="CR389" s="28"/>
      <c r="CS389" s="28"/>
      <c r="CT389" s="28"/>
      <c r="CU389" s="28"/>
      <c r="CV389" s="28"/>
      <c r="CW389" s="28"/>
      <c r="CX389" s="28"/>
      <c r="CY389" s="28"/>
      <c r="CZ389" s="28"/>
      <c r="DA389" s="28"/>
      <c r="DB389" s="28"/>
      <c r="DC389" s="28"/>
      <c r="DD389" s="28"/>
      <c r="DE389" s="28"/>
      <c r="DF389" s="28"/>
      <c r="DG389" s="28"/>
      <c r="DH389" s="28"/>
      <c r="DI389" s="28"/>
      <c r="DJ389" s="28"/>
      <c r="DK389" s="29"/>
      <c r="DL389" s="29"/>
      <c r="DM389" s="29"/>
      <c r="DN389" s="29"/>
      <c r="DO389" s="29"/>
      <c r="DP389" s="29"/>
      <c r="DQ389" s="29"/>
      <c r="DR389" s="29"/>
      <c r="DS389" s="22"/>
      <c r="DT389" s="22"/>
      <c r="DU389" s="22"/>
      <c r="DV389" s="22"/>
    </row>
    <row r="390" spans="61:126" x14ac:dyDescent="0.25">
      <c r="BI390" s="22"/>
      <c r="BJ390" s="22"/>
      <c r="BK390" s="22"/>
      <c r="BL390" s="22"/>
      <c r="BM390" s="66"/>
      <c r="BN390" s="66"/>
      <c r="BO390" s="23"/>
      <c r="BP390" s="23"/>
      <c r="BQ390" s="23"/>
      <c r="BR390" s="24"/>
      <c r="BS390" s="24"/>
      <c r="BT390" s="68"/>
      <c r="BU390" s="68"/>
      <c r="BV390" s="25"/>
      <c r="BW390" s="26"/>
      <c r="BX390" s="27"/>
      <c r="BY390" s="28"/>
      <c r="BZ390" s="28"/>
      <c r="CA390" s="28"/>
      <c r="CB390" s="28"/>
      <c r="CC390" s="28"/>
      <c r="CD390" s="28"/>
      <c r="CE390" s="28"/>
      <c r="CF390" s="28"/>
      <c r="CG390" s="28"/>
      <c r="CH390" s="28"/>
      <c r="CI390" s="28"/>
      <c r="CJ390" s="28"/>
      <c r="CK390" s="28"/>
      <c r="CL390" s="28"/>
      <c r="CM390" s="28"/>
      <c r="CN390" s="28"/>
      <c r="CO390" s="28"/>
      <c r="CP390" s="28"/>
      <c r="CQ390" s="28"/>
      <c r="CR390" s="28"/>
      <c r="CS390" s="28"/>
      <c r="CT390" s="28"/>
      <c r="CU390" s="28"/>
      <c r="CV390" s="28"/>
      <c r="CW390" s="28"/>
      <c r="CX390" s="28"/>
      <c r="CY390" s="28"/>
      <c r="CZ390" s="28"/>
      <c r="DA390" s="28"/>
      <c r="DB390" s="28"/>
      <c r="DC390" s="28"/>
      <c r="DD390" s="28"/>
      <c r="DE390" s="28"/>
      <c r="DF390" s="28"/>
      <c r="DG390" s="28"/>
      <c r="DH390" s="28"/>
      <c r="DI390" s="28"/>
      <c r="DJ390" s="28"/>
      <c r="DK390" s="29"/>
      <c r="DL390" s="29"/>
      <c r="DM390" s="29"/>
      <c r="DN390" s="29"/>
      <c r="DO390" s="29"/>
      <c r="DP390" s="29"/>
      <c r="DQ390" s="29"/>
      <c r="DR390" s="29"/>
      <c r="DS390" s="22"/>
      <c r="DT390" s="22"/>
      <c r="DU390" s="22"/>
      <c r="DV390" s="22"/>
    </row>
    <row r="391" spans="61:126" x14ac:dyDescent="0.25">
      <c r="BI391" s="22"/>
      <c r="BJ391" s="22"/>
      <c r="BK391" s="22"/>
      <c r="BL391" s="22"/>
      <c r="BM391" s="66"/>
      <c r="BN391" s="66"/>
      <c r="BO391" s="23"/>
      <c r="BP391" s="23"/>
      <c r="BQ391" s="23"/>
      <c r="BR391" s="24"/>
      <c r="BS391" s="24"/>
      <c r="BT391" s="68"/>
      <c r="BU391" s="68"/>
      <c r="BV391" s="25"/>
      <c r="BW391" s="26"/>
      <c r="BX391" s="27"/>
      <c r="BY391" s="28"/>
      <c r="BZ391" s="28"/>
      <c r="CA391" s="28"/>
      <c r="CB391" s="28"/>
      <c r="CC391" s="28"/>
      <c r="CD391" s="28"/>
      <c r="CE391" s="28"/>
      <c r="CF391" s="28"/>
      <c r="CG391" s="28"/>
      <c r="CH391" s="28"/>
      <c r="CI391" s="28"/>
      <c r="CJ391" s="28"/>
      <c r="CK391" s="28"/>
      <c r="CL391" s="28"/>
      <c r="CM391" s="28"/>
      <c r="CN391" s="28"/>
      <c r="CO391" s="28"/>
      <c r="CP391" s="28"/>
      <c r="CQ391" s="28"/>
      <c r="CR391" s="28"/>
      <c r="CS391" s="28"/>
      <c r="CT391" s="28"/>
      <c r="CU391" s="28"/>
      <c r="CV391" s="28"/>
      <c r="CW391" s="28"/>
      <c r="CX391" s="28"/>
      <c r="CY391" s="28"/>
      <c r="CZ391" s="28"/>
      <c r="DA391" s="28"/>
      <c r="DB391" s="28"/>
      <c r="DC391" s="28"/>
      <c r="DD391" s="28"/>
      <c r="DE391" s="28"/>
      <c r="DF391" s="28"/>
      <c r="DG391" s="28"/>
      <c r="DH391" s="28"/>
      <c r="DI391" s="28"/>
      <c r="DJ391" s="28"/>
      <c r="DK391" s="29"/>
      <c r="DL391" s="29"/>
      <c r="DM391" s="29"/>
      <c r="DN391" s="29"/>
      <c r="DO391" s="29"/>
      <c r="DP391" s="29"/>
      <c r="DQ391" s="29"/>
      <c r="DR391" s="29"/>
      <c r="DS391" s="22"/>
      <c r="DT391" s="22"/>
      <c r="DU391" s="22"/>
      <c r="DV391" s="22"/>
    </row>
    <row r="392" spans="61:126" x14ac:dyDescent="0.25">
      <c r="BI392" s="22"/>
      <c r="BJ392" s="22"/>
      <c r="BK392" s="22"/>
      <c r="BL392" s="22"/>
      <c r="BM392" s="66"/>
      <c r="BN392" s="66"/>
      <c r="BO392" s="23"/>
      <c r="BP392" s="23"/>
      <c r="BQ392" s="23"/>
      <c r="BR392" s="24"/>
      <c r="BS392" s="24"/>
      <c r="BT392" s="68"/>
      <c r="BU392" s="68"/>
      <c r="BV392" s="25"/>
      <c r="BW392" s="26"/>
      <c r="BX392" s="27"/>
      <c r="BY392" s="28"/>
      <c r="BZ392" s="28"/>
      <c r="CA392" s="28"/>
      <c r="CB392" s="28"/>
      <c r="CC392" s="28"/>
      <c r="CD392" s="28"/>
      <c r="CE392" s="28"/>
      <c r="CF392" s="28"/>
      <c r="CG392" s="28"/>
      <c r="CH392" s="28"/>
      <c r="CI392" s="28"/>
      <c r="CJ392" s="28"/>
      <c r="CK392" s="28"/>
      <c r="CL392" s="28"/>
      <c r="CM392" s="28"/>
      <c r="CN392" s="28"/>
      <c r="CO392" s="28"/>
      <c r="CP392" s="28"/>
      <c r="CQ392" s="28"/>
      <c r="CR392" s="28"/>
      <c r="CS392" s="28"/>
      <c r="CT392" s="28"/>
      <c r="CU392" s="28"/>
      <c r="CV392" s="28"/>
      <c r="CW392" s="28"/>
      <c r="CX392" s="28"/>
      <c r="CY392" s="28"/>
      <c r="CZ392" s="28"/>
      <c r="DA392" s="28"/>
      <c r="DB392" s="28"/>
      <c r="DC392" s="28"/>
      <c r="DD392" s="28"/>
      <c r="DE392" s="28"/>
      <c r="DF392" s="28"/>
      <c r="DG392" s="28"/>
      <c r="DH392" s="28"/>
      <c r="DI392" s="28"/>
      <c r="DJ392" s="28"/>
      <c r="DK392" s="29"/>
      <c r="DL392" s="29"/>
      <c r="DM392" s="29"/>
      <c r="DN392" s="29"/>
      <c r="DO392" s="29"/>
      <c r="DP392" s="29"/>
      <c r="DQ392" s="29"/>
      <c r="DR392" s="29"/>
      <c r="DS392" s="22"/>
      <c r="DT392" s="22"/>
      <c r="DU392" s="22"/>
      <c r="DV392" s="22"/>
    </row>
    <row r="393" spans="61:126" x14ac:dyDescent="0.25">
      <c r="BI393" s="22"/>
      <c r="BJ393" s="22"/>
      <c r="BK393" s="22"/>
      <c r="BL393" s="22"/>
      <c r="BM393" s="66"/>
      <c r="BN393" s="66"/>
      <c r="BO393" s="23"/>
      <c r="BP393" s="23"/>
      <c r="BQ393" s="23"/>
      <c r="BR393" s="24"/>
      <c r="BS393" s="24"/>
      <c r="BT393" s="68"/>
      <c r="BU393" s="68"/>
      <c r="BV393" s="25"/>
      <c r="BW393" s="26"/>
      <c r="BX393" s="27"/>
      <c r="BY393" s="28"/>
      <c r="BZ393" s="28"/>
      <c r="CA393" s="28"/>
      <c r="CB393" s="28"/>
      <c r="CC393" s="28"/>
      <c r="CD393" s="28"/>
      <c r="CE393" s="28"/>
      <c r="CF393" s="28"/>
      <c r="CG393" s="28"/>
      <c r="CH393" s="28"/>
      <c r="CI393" s="28"/>
      <c r="CJ393" s="28"/>
      <c r="CK393" s="28"/>
      <c r="CL393" s="28"/>
      <c r="CM393" s="28"/>
      <c r="CN393" s="28"/>
      <c r="CO393" s="28"/>
      <c r="CP393" s="28"/>
      <c r="CQ393" s="28"/>
      <c r="CR393" s="28"/>
      <c r="CS393" s="28"/>
      <c r="CT393" s="28"/>
      <c r="CU393" s="28"/>
      <c r="CV393" s="28"/>
      <c r="CW393" s="28"/>
      <c r="CX393" s="28"/>
      <c r="CY393" s="28"/>
      <c r="CZ393" s="28"/>
      <c r="DA393" s="28"/>
      <c r="DB393" s="28"/>
      <c r="DC393" s="28"/>
      <c r="DD393" s="28"/>
      <c r="DE393" s="28"/>
      <c r="DF393" s="28"/>
      <c r="DG393" s="28"/>
      <c r="DH393" s="28"/>
      <c r="DI393" s="28"/>
      <c r="DJ393" s="28"/>
      <c r="DK393" s="29"/>
      <c r="DL393" s="29"/>
      <c r="DM393" s="29"/>
      <c r="DN393" s="29"/>
      <c r="DO393" s="29"/>
      <c r="DP393" s="29"/>
      <c r="DQ393" s="29"/>
      <c r="DR393" s="29"/>
      <c r="DS393" s="22"/>
      <c r="DT393" s="22"/>
      <c r="DU393" s="22"/>
      <c r="DV393" s="22"/>
    </row>
    <row r="394" spans="61:126" x14ac:dyDescent="0.25">
      <c r="BI394" s="22"/>
      <c r="BJ394" s="22"/>
      <c r="BK394" s="22"/>
      <c r="BL394" s="22"/>
      <c r="BM394" s="66"/>
      <c r="BN394" s="66"/>
      <c r="BO394" s="23"/>
      <c r="BP394" s="23"/>
      <c r="BQ394" s="23"/>
      <c r="BR394" s="24"/>
      <c r="BS394" s="24"/>
      <c r="BT394" s="68"/>
      <c r="BU394" s="68"/>
      <c r="BV394" s="25"/>
      <c r="BW394" s="26"/>
      <c r="BX394" s="27"/>
      <c r="BY394" s="28"/>
      <c r="BZ394" s="28"/>
      <c r="CA394" s="28"/>
      <c r="CB394" s="28"/>
      <c r="CC394" s="28"/>
      <c r="CD394" s="28"/>
      <c r="CE394" s="28"/>
      <c r="CF394" s="28"/>
      <c r="CG394" s="28"/>
      <c r="CH394" s="28"/>
      <c r="CI394" s="28"/>
      <c r="CJ394" s="28"/>
      <c r="CK394" s="28"/>
      <c r="CL394" s="28"/>
      <c r="CM394" s="28"/>
      <c r="CN394" s="28"/>
      <c r="CO394" s="28"/>
      <c r="CP394" s="28"/>
      <c r="CQ394" s="28"/>
      <c r="CR394" s="28"/>
      <c r="CS394" s="28"/>
      <c r="CT394" s="28"/>
      <c r="CU394" s="28"/>
      <c r="CV394" s="28"/>
      <c r="CW394" s="28"/>
      <c r="CX394" s="28"/>
      <c r="CY394" s="28"/>
      <c r="CZ394" s="28"/>
      <c r="DA394" s="28"/>
      <c r="DB394" s="28"/>
      <c r="DC394" s="28"/>
      <c r="DD394" s="28"/>
      <c r="DE394" s="28"/>
      <c r="DF394" s="28"/>
      <c r="DG394" s="28"/>
      <c r="DH394" s="28"/>
      <c r="DI394" s="28"/>
      <c r="DJ394" s="28"/>
      <c r="DK394" s="29"/>
      <c r="DL394" s="29"/>
      <c r="DM394" s="29"/>
      <c r="DN394" s="29"/>
      <c r="DO394" s="29"/>
      <c r="DP394" s="29"/>
      <c r="DQ394" s="29"/>
      <c r="DR394" s="29"/>
      <c r="DS394" s="22"/>
      <c r="DT394" s="22"/>
      <c r="DU394" s="22"/>
      <c r="DV394" s="22"/>
    </row>
    <row r="395" spans="61:126" x14ac:dyDescent="0.25">
      <c r="BI395" s="22"/>
      <c r="BJ395" s="22"/>
      <c r="BK395" s="22"/>
      <c r="BL395" s="22"/>
      <c r="BM395" s="66"/>
      <c r="BN395" s="66"/>
      <c r="BO395" s="23"/>
      <c r="BP395" s="23"/>
      <c r="BQ395" s="23"/>
      <c r="BR395" s="24"/>
      <c r="BS395" s="24"/>
      <c r="BT395" s="68"/>
      <c r="BU395" s="68"/>
      <c r="BV395" s="25"/>
      <c r="BW395" s="26"/>
      <c r="BX395" s="27"/>
      <c r="BY395" s="28"/>
      <c r="BZ395" s="28"/>
      <c r="CA395" s="28"/>
      <c r="CB395" s="28"/>
      <c r="CC395" s="28"/>
      <c r="CD395" s="28"/>
      <c r="CE395" s="28"/>
      <c r="CF395" s="28"/>
      <c r="CG395" s="28"/>
      <c r="CH395" s="28"/>
      <c r="CI395" s="28"/>
      <c r="CJ395" s="28"/>
      <c r="CK395" s="28"/>
      <c r="CL395" s="28"/>
      <c r="CM395" s="28"/>
      <c r="CN395" s="28"/>
      <c r="CO395" s="28"/>
      <c r="CP395" s="28"/>
      <c r="CQ395" s="28"/>
      <c r="CR395" s="28"/>
      <c r="CS395" s="28"/>
      <c r="CT395" s="28"/>
      <c r="CU395" s="28"/>
      <c r="CV395" s="28"/>
      <c r="CW395" s="28"/>
      <c r="CX395" s="28"/>
      <c r="CY395" s="28"/>
      <c r="CZ395" s="28"/>
      <c r="DA395" s="28"/>
      <c r="DB395" s="28"/>
      <c r="DC395" s="28"/>
      <c r="DD395" s="28"/>
      <c r="DE395" s="28"/>
      <c r="DF395" s="28"/>
      <c r="DG395" s="28"/>
      <c r="DH395" s="28"/>
      <c r="DI395" s="28"/>
      <c r="DJ395" s="28"/>
      <c r="DK395" s="29"/>
      <c r="DL395" s="29"/>
      <c r="DM395" s="29"/>
      <c r="DN395" s="29"/>
      <c r="DO395" s="29"/>
      <c r="DP395" s="29"/>
      <c r="DQ395" s="29"/>
      <c r="DR395" s="29"/>
      <c r="DS395" s="22"/>
      <c r="DT395" s="22"/>
      <c r="DU395" s="22"/>
      <c r="DV395" s="22"/>
    </row>
    <row r="396" spans="61:126" x14ac:dyDescent="0.25">
      <c r="BI396" s="22"/>
      <c r="BJ396" s="22"/>
      <c r="BK396" s="22"/>
      <c r="BL396" s="22"/>
      <c r="BM396" s="66"/>
      <c r="BN396" s="66"/>
      <c r="BO396" s="23"/>
      <c r="BP396" s="23"/>
      <c r="BQ396" s="23"/>
      <c r="BR396" s="24"/>
      <c r="BS396" s="24"/>
      <c r="BT396" s="68"/>
      <c r="BU396" s="68"/>
      <c r="BV396" s="25"/>
      <c r="BW396" s="26"/>
      <c r="BX396" s="27"/>
      <c r="BY396" s="28"/>
      <c r="BZ396" s="28"/>
      <c r="CA396" s="28"/>
      <c r="CB396" s="28"/>
      <c r="CC396" s="28"/>
      <c r="CD396" s="28"/>
      <c r="CE396" s="28"/>
      <c r="CF396" s="28"/>
      <c r="CG396" s="28"/>
      <c r="CH396" s="28"/>
      <c r="CI396" s="28"/>
      <c r="CJ396" s="28"/>
      <c r="CK396" s="28"/>
      <c r="CL396" s="28"/>
      <c r="CM396" s="28"/>
      <c r="CN396" s="28"/>
      <c r="CO396" s="28"/>
      <c r="CP396" s="28"/>
      <c r="CQ396" s="28"/>
      <c r="CR396" s="28"/>
      <c r="CS396" s="28"/>
      <c r="CT396" s="28"/>
      <c r="CU396" s="28"/>
      <c r="CV396" s="28"/>
      <c r="CW396" s="28"/>
      <c r="CX396" s="28"/>
      <c r="CY396" s="28"/>
      <c r="CZ396" s="28"/>
      <c r="DA396" s="28"/>
      <c r="DB396" s="28"/>
      <c r="DC396" s="28"/>
      <c r="DD396" s="28"/>
      <c r="DE396" s="28"/>
      <c r="DF396" s="28"/>
      <c r="DG396" s="28"/>
      <c r="DH396" s="28"/>
      <c r="DI396" s="28"/>
      <c r="DJ396" s="28"/>
      <c r="DK396" s="29"/>
      <c r="DL396" s="29"/>
      <c r="DM396" s="29"/>
      <c r="DN396" s="29"/>
      <c r="DO396" s="29"/>
      <c r="DP396" s="29"/>
      <c r="DQ396" s="29"/>
      <c r="DR396" s="29"/>
      <c r="DS396" s="22"/>
      <c r="DT396" s="22"/>
      <c r="DU396" s="22"/>
      <c r="DV396" s="22"/>
    </row>
    <row r="397" spans="61:126" x14ac:dyDescent="0.25">
      <c r="BI397" s="22"/>
      <c r="BJ397" s="22"/>
      <c r="BK397" s="22"/>
      <c r="BL397" s="22"/>
      <c r="BM397" s="66"/>
      <c r="BN397" s="66"/>
      <c r="BO397" s="23"/>
      <c r="BP397" s="23"/>
      <c r="BQ397" s="23"/>
      <c r="BR397" s="24"/>
      <c r="BS397" s="24"/>
      <c r="BT397" s="68"/>
      <c r="BU397" s="68"/>
      <c r="BV397" s="25"/>
      <c r="BW397" s="26"/>
      <c r="BX397" s="27"/>
      <c r="BY397" s="28"/>
      <c r="BZ397" s="28"/>
      <c r="CA397" s="28"/>
      <c r="CB397" s="28"/>
      <c r="CC397" s="28"/>
      <c r="CD397" s="28"/>
      <c r="CE397" s="28"/>
      <c r="CF397" s="28"/>
      <c r="CG397" s="28"/>
      <c r="CH397" s="28"/>
      <c r="CI397" s="28"/>
      <c r="CJ397" s="28"/>
      <c r="CK397" s="28"/>
      <c r="CL397" s="28"/>
      <c r="CM397" s="28"/>
      <c r="CN397" s="28"/>
      <c r="CO397" s="28"/>
      <c r="CP397" s="28"/>
      <c r="CQ397" s="28"/>
      <c r="CR397" s="28"/>
      <c r="CS397" s="28"/>
      <c r="CT397" s="28"/>
      <c r="CU397" s="28"/>
      <c r="CV397" s="28"/>
      <c r="CW397" s="28"/>
      <c r="CX397" s="28"/>
      <c r="CY397" s="28"/>
      <c r="CZ397" s="28"/>
      <c r="DA397" s="28"/>
      <c r="DB397" s="28"/>
      <c r="DC397" s="28"/>
      <c r="DD397" s="28"/>
      <c r="DE397" s="28"/>
      <c r="DF397" s="28"/>
      <c r="DG397" s="28"/>
      <c r="DH397" s="28"/>
      <c r="DI397" s="28"/>
      <c r="DJ397" s="28"/>
      <c r="DK397" s="29"/>
      <c r="DL397" s="29"/>
      <c r="DM397" s="29"/>
      <c r="DN397" s="29"/>
      <c r="DO397" s="29"/>
      <c r="DP397" s="29"/>
      <c r="DQ397" s="29"/>
      <c r="DR397" s="29"/>
      <c r="DS397" s="22"/>
      <c r="DT397" s="22"/>
      <c r="DU397" s="22"/>
      <c r="DV397" s="22"/>
    </row>
    <row r="398" spans="61:126" x14ac:dyDescent="0.25">
      <c r="BI398" s="22"/>
      <c r="BJ398" s="22"/>
      <c r="BK398" s="22"/>
      <c r="BL398" s="22"/>
      <c r="BM398" s="66"/>
      <c r="BN398" s="66"/>
      <c r="BO398" s="23"/>
      <c r="BP398" s="23"/>
      <c r="BQ398" s="23"/>
      <c r="BR398" s="24"/>
      <c r="BS398" s="24"/>
      <c r="BT398" s="68"/>
      <c r="BU398" s="68"/>
      <c r="BV398" s="25"/>
      <c r="BW398" s="26"/>
      <c r="BX398" s="27"/>
      <c r="BY398" s="28"/>
      <c r="BZ398" s="28"/>
      <c r="CA398" s="28"/>
      <c r="CB398" s="28"/>
      <c r="CC398" s="28"/>
      <c r="CD398" s="28"/>
      <c r="CE398" s="28"/>
      <c r="CF398" s="28"/>
      <c r="CG398" s="28"/>
      <c r="CH398" s="28"/>
      <c r="CI398" s="28"/>
      <c r="CJ398" s="28"/>
      <c r="CK398" s="28"/>
      <c r="CL398" s="28"/>
      <c r="CM398" s="28"/>
      <c r="CN398" s="28"/>
      <c r="CO398" s="28"/>
      <c r="CP398" s="28"/>
      <c r="CQ398" s="28"/>
      <c r="CR398" s="28"/>
      <c r="CS398" s="28"/>
      <c r="CT398" s="28"/>
      <c r="CU398" s="28"/>
      <c r="CV398" s="28"/>
      <c r="CW398" s="28"/>
      <c r="CX398" s="28"/>
      <c r="CY398" s="28"/>
      <c r="CZ398" s="28"/>
      <c r="DA398" s="28"/>
      <c r="DB398" s="28"/>
      <c r="DC398" s="28"/>
      <c r="DD398" s="28"/>
      <c r="DE398" s="28"/>
      <c r="DF398" s="28"/>
      <c r="DG398" s="28"/>
      <c r="DH398" s="28"/>
      <c r="DI398" s="28"/>
      <c r="DJ398" s="28"/>
      <c r="DK398" s="29"/>
      <c r="DL398" s="29"/>
      <c r="DM398" s="29"/>
      <c r="DN398" s="29"/>
      <c r="DO398" s="29"/>
      <c r="DP398" s="29"/>
      <c r="DQ398" s="29"/>
      <c r="DR398" s="29"/>
      <c r="DS398" s="22"/>
      <c r="DT398" s="22"/>
      <c r="DU398" s="22"/>
      <c r="DV398" s="22"/>
    </row>
    <row r="399" spans="61:126" x14ac:dyDescent="0.25">
      <c r="BI399" s="22"/>
      <c r="BJ399" s="22"/>
      <c r="BK399" s="22"/>
      <c r="BL399" s="22"/>
      <c r="BM399" s="66"/>
      <c r="BN399" s="66"/>
      <c r="BO399" s="23"/>
      <c r="BP399" s="23"/>
      <c r="BQ399" s="23"/>
      <c r="BR399" s="24"/>
      <c r="BS399" s="24"/>
      <c r="BT399" s="68"/>
      <c r="BU399" s="68"/>
      <c r="BV399" s="25"/>
      <c r="BW399" s="26"/>
      <c r="BX399" s="27"/>
      <c r="BY399" s="28"/>
      <c r="BZ399" s="28"/>
      <c r="CA399" s="28"/>
      <c r="CB399" s="28"/>
      <c r="CC399" s="28"/>
      <c r="CD399" s="28"/>
      <c r="CE399" s="28"/>
      <c r="CF399" s="28"/>
      <c r="CG399" s="28"/>
      <c r="CH399" s="28"/>
      <c r="CI399" s="28"/>
      <c r="CJ399" s="28"/>
      <c r="CK399" s="28"/>
      <c r="CL399" s="28"/>
      <c r="CM399" s="28"/>
      <c r="CN399" s="28"/>
      <c r="CO399" s="28"/>
      <c r="CP399" s="28"/>
      <c r="CQ399" s="28"/>
      <c r="CR399" s="28"/>
      <c r="CS399" s="28"/>
      <c r="CT399" s="28"/>
      <c r="CU399" s="28"/>
      <c r="CV399" s="28"/>
      <c r="CW399" s="28"/>
      <c r="CX399" s="28"/>
      <c r="CY399" s="28"/>
      <c r="CZ399" s="28"/>
      <c r="DA399" s="28"/>
      <c r="DB399" s="28"/>
      <c r="DC399" s="28"/>
      <c r="DD399" s="28"/>
      <c r="DE399" s="28"/>
      <c r="DF399" s="28"/>
      <c r="DG399" s="28"/>
      <c r="DH399" s="28"/>
      <c r="DI399" s="28"/>
      <c r="DJ399" s="28"/>
      <c r="DK399" s="29"/>
      <c r="DL399" s="29"/>
      <c r="DM399" s="29"/>
      <c r="DN399" s="29"/>
      <c r="DO399" s="29"/>
      <c r="DP399" s="29"/>
      <c r="DQ399" s="29"/>
      <c r="DR399" s="29"/>
      <c r="DS399" s="22"/>
      <c r="DT399" s="22"/>
      <c r="DU399" s="22"/>
      <c r="DV399" s="22"/>
    </row>
    <row r="400" spans="61:126" x14ac:dyDescent="0.25">
      <c r="BI400" s="22"/>
      <c r="BJ400" s="22"/>
      <c r="BK400" s="22"/>
      <c r="BL400" s="22"/>
      <c r="BM400" s="66"/>
      <c r="BN400" s="66"/>
      <c r="BO400" s="23"/>
      <c r="BP400" s="23"/>
      <c r="BQ400" s="23"/>
      <c r="BR400" s="24"/>
      <c r="BS400" s="24"/>
      <c r="BT400" s="68"/>
      <c r="BU400" s="68"/>
      <c r="BV400" s="25"/>
      <c r="BW400" s="26"/>
      <c r="BX400" s="27"/>
      <c r="BY400" s="28"/>
      <c r="BZ400" s="28"/>
      <c r="CA400" s="28"/>
      <c r="CB400" s="28"/>
      <c r="CC400" s="28"/>
      <c r="CD400" s="28"/>
      <c r="CE400" s="28"/>
      <c r="CF400" s="28"/>
      <c r="CG400" s="28"/>
      <c r="CH400" s="28"/>
      <c r="CI400" s="28"/>
      <c r="CJ400" s="28"/>
      <c r="CK400" s="28"/>
      <c r="CL400" s="28"/>
      <c r="CM400" s="28"/>
      <c r="CN400" s="28"/>
      <c r="CO400" s="28"/>
      <c r="CP400" s="28"/>
      <c r="CQ400" s="28"/>
      <c r="CR400" s="28"/>
      <c r="CS400" s="28"/>
      <c r="CT400" s="28"/>
      <c r="CU400" s="28"/>
      <c r="CV400" s="28"/>
      <c r="CW400" s="28"/>
      <c r="CX400" s="28"/>
      <c r="CY400" s="28"/>
      <c r="CZ400" s="28"/>
      <c r="DA400" s="28"/>
      <c r="DB400" s="28"/>
      <c r="DC400" s="28"/>
      <c r="DD400" s="28"/>
      <c r="DE400" s="28"/>
      <c r="DF400" s="28"/>
      <c r="DG400" s="28"/>
      <c r="DH400" s="28"/>
      <c r="DI400" s="28"/>
      <c r="DJ400" s="28"/>
      <c r="DK400" s="29"/>
      <c r="DL400" s="29"/>
      <c r="DM400" s="29"/>
      <c r="DN400" s="29"/>
      <c r="DO400" s="29"/>
      <c r="DP400" s="29"/>
      <c r="DQ400" s="29"/>
      <c r="DR400" s="29"/>
      <c r="DS400" s="22"/>
      <c r="DT400" s="22"/>
      <c r="DU400" s="22"/>
      <c r="DV400" s="22"/>
    </row>
    <row r="401" spans="61:126" x14ac:dyDescent="0.25">
      <c r="BI401" s="22"/>
      <c r="BJ401" s="22"/>
      <c r="BK401" s="22"/>
      <c r="BL401" s="22"/>
      <c r="BM401" s="66"/>
      <c r="BN401" s="66"/>
      <c r="BO401" s="23"/>
      <c r="BP401" s="23"/>
      <c r="BQ401" s="23"/>
      <c r="BR401" s="24"/>
      <c r="BS401" s="24"/>
      <c r="BT401" s="68"/>
      <c r="BU401" s="68"/>
      <c r="BV401" s="25"/>
      <c r="BW401" s="26"/>
      <c r="BX401" s="27"/>
      <c r="BY401" s="28"/>
      <c r="BZ401" s="28"/>
      <c r="CA401" s="28"/>
      <c r="CB401" s="28"/>
      <c r="CC401" s="28"/>
      <c r="CD401" s="28"/>
      <c r="CE401" s="28"/>
      <c r="CF401" s="28"/>
      <c r="CG401" s="28"/>
      <c r="CH401" s="28"/>
      <c r="CI401" s="28"/>
      <c r="CJ401" s="28"/>
      <c r="CK401" s="28"/>
      <c r="CL401" s="28"/>
      <c r="CM401" s="28"/>
      <c r="CN401" s="28"/>
      <c r="CO401" s="28"/>
      <c r="CP401" s="28"/>
      <c r="CQ401" s="28"/>
      <c r="CR401" s="28"/>
      <c r="CS401" s="28"/>
      <c r="CT401" s="28"/>
      <c r="CU401" s="28"/>
      <c r="CV401" s="28"/>
      <c r="CW401" s="28"/>
      <c r="CX401" s="28"/>
      <c r="CY401" s="28"/>
      <c r="CZ401" s="28"/>
      <c r="DA401" s="28"/>
      <c r="DB401" s="28"/>
      <c r="DC401" s="28"/>
      <c r="DD401" s="28"/>
      <c r="DE401" s="28"/>
      <c r="DF401" s="28"/>
      <c r="DG401" s="28"/>
      <c r="DH401" s="28"/>
      <c r="DI401" s="28"/>
      <c r="DJ401" s="28"/>
      <c r="DK401" s="29"/>
      <c r="DL401" s="29"/>
      <c r="DM401" s="29"/>
      <c r="DN401" s="29"/>
      <c r="DO401" s="29"/>
      <c r="DP401" s="29"/>
      <c r="DQ401" s="29"/>
      <c r="DR401" s="29"/>
      <c r="DS401" s="22"/>
      <c r="DT401" s="22"/>
      <c r="DU401" s="22"/>
      <c r="DV401" s="22"/>
    </row>
    <row r="402" spans="61:126" x14ac:dyDescent="0.25">
      <c r="BI402" s="22"/>
      <c r="BJ402" s="22"/>
      <c r="BK402" s="22"/>
      <c r="BL402" s="22"/>
      <c r="BM402" s="66"/>
      <c r="BN402" s="66"/>
      <c r="BO402" s="23"/>
      <c r="BP402" s="23"/>
      <c r="BQ402" s="23"/>
      <c r="BR402" s="24"/>
      <c r="BS402" s="24"/>
      <c r="BT402" s="68"/>
      <c r="BU402" s="68"/>
      <c r="BV402" s="25"/>
      <c r="BW402" s="26"/>
      <c r="BX402" s="27"/>
      <c r="BY402" s="28"/>
      <c r="BZ402" s="28"/>
      <c r="CA402" s="28"/>
      <c r="CB402" s="28"/>
      <c r="CC402" s="28"/>
      <c r="CD402" s="28"/>
      <c r="CE402" s="28"/>
      <c r="CF402" s="28"/>
      <c r="CG402" s="28"/>
      <c r="CH402" s="28"/>
      <c r="CI402" s="28"/>
      <c r="CJ402" s="28"/>
      <c r="CK402" s="28"/>
      <c r="CL402" s="28"/>
      <c r="CM402" s="28"/>
      <c r="CN402" s="28"/>
      <c r="CO402" s="28"/>
      <c r="CP402" s="28"/>
      <c r="CQ402" s="28"/>
      <c r="CR402" s="28"/>
      <c r="CS402" s="28"/>
      <c r="CT402" s="28"/>
      <c r="CU402" s="28"/>
      <c r="CV402" s="28"/>
      <c r="CW402" s="28"/>
      <c r="CX402" s="28"/>
      <c r="CY402" s="28"/>
      <c r="CZ402" s="28"/>
      <c r="DA402" s="28"/>
      <c r="DB402" s="28"/>
      <c r="DC402" s="28"/>
      <c r="DD402" s="28"/>
      <c r="DE402" s="28"/>
      <c r="DF402" s="28"/>
      <c r="DG402" s="28"/>
      <c r="DH402" s="28"/>
      <c r="DI402" s="28"/>
      <c r="DJ402" s="28"/>
      <c r="DK402" s="29"/>
      <c r="DL402" s="29"/>
      <c r="DM402" s="29"/>
      <c r="DN402" s="29"/>
      <c r="DO402" s="29"/>
      <c r="DP402" s="29"/>
      <c r="DQ402" s="29"/>
      <c r="DR402" s="29"/>
      <c r="DS402" s="22"/>
      <c r="DT402" s="22"/>
      <c r="DU402" s="22"/>
      <c r="DV402" s="22"/>
    </row>
    <row r="403" spans="61:126" x14ac:dyDescent="0.25">
      <c r="BI403" s="22"/>
      <c r="BJ403" s="22"/>
      <c r="BK403" s="22"/>
      <c r="BL403" s="22"/>
      <c r="BM403" s="66"/>
      <c r="BN403" s="66"/>
      <c r="BO403" s="23"/>
      <c r="BP403" s="23"/>
      <c r="BQ403" s="23"/>
      <c r="BR403" s="24"/>
      <c r="BS403" s="24"/>
      <c r="BT403" s="68"/>
      <c r="BU403" s="68"/>
      <c r="BV403" s="25"/>
      <c r="BW403" s="26"/>
      <c r="BX403" s="27"/>
      <c r="BY403" s="28"/>
      <c r="BZ403" s="28"/>
      <c r="CA403" s="28"/>
      <c r="CB403" s="28"/>
      <c r="CC403" s="28"/>
      <c r="CD403" s="28"/>
      <c r="CE403" s="28"/>
      <c r="CF403" s="28"/>
      <c r="CG403" s="28"/>
      <c r="CH403" s="28"/>
      <c r="CI403" s="28"/>
      <c r="CJ403" s="28"/>
      <c r="CK403" s="28"/>
      <c r="CL403" s="28"/>
      <c r="CM403" s="28"/>
      <c r="CN403" s="28"/>
      <c r="CO403" s="28"/>
      <c r="CP403" s="28"/>
      <c r="CQ403" s="28"/>
      <c r="CR403" s="28"/>
      <c r="CS403" s="28"/>
      <c r="CT403" s="28"/>
      <c r="CU403" s="28"/>
      <c r="CV403" s="28"/>
      <c r="CW403" s="28"/>
      <c r="CX403" s="28"/>
      <c r="CY403" s="28"/>
      <c r="CZ403" s="28"/>
      <c r="DA403" s="28"/>
      <c r="DB403" s="28"/>
      <c r="DC403" s="28"/>
      <c r="DD403" s="28"/>
      <c r="DE403" s="28"/>
      <c r="DF403" s="28"/>
      <c r="DG403" s="28"/>
      <c r="DH403" s="28"/>
      <c r="DI403" s="28"/>
      <c r="DJ403" s="28"/>
      <c r="DK403" s="29"/>
      <c r="DL403" s="29"/>
      <c r="DM403" s="29"/>
      <c r="DN403" s="29"/>
      <c r="DO403" s="29"/>
      <c r="DP403" s="29"/>
      <c r="DQ403" s="29"/>
      <c r="DR403" s="29"/>
      <c r="DS403" s="22"/>
      <c r="DT403" s="22"/>
      <c r="DU403" s="22"/>
      <c r="DV403" s="22"/>
    </row>
    <row r="404" spans="61:126" x14ac:dyDescent="0.25">
      <c r="BI404" s="22"/>
      <c r="BJ404" s="22"/>
      <c r="BK404" s="22"/>
      <c r="BL404" s="22"/>
      <c r="BM404" s="66"/>
      <c r="BN404" s="66"/>
      <c r="BO404" s="23"/>
      <c r="BP404" s="23"/>
      <c r="BQ404" s="23"/>
      <c r="BR404" s="24"/>
      <c r="BS404" s="24"/>
      <c r="BT404" s="68"/>
      <c r="BU404" s="68"/>
      <c r="BV404" s="25"/>
      <c r="BW404" s="26"/>
      <c r="BX404" s="27"/>
      <c r="BY404" s="28"/>
      <c r="BZ404" s="28"/>
      <c r="CA404" s="28"/>
      <c r="CB404" s="28"/>
      <c r="CC404" s="28"/>
      <c r="CD404" s="28"/>
      <c r="CE404" s="28"/>
      <c r="CF404" s="28"/>
      <c r="CG404" s="28"/>
      <c r="CH404" s="28"/>
      <c r="CI404" s="28"/>
      <c r="CJ404" s="28"/>
      <c r="CK404" s="28"/>
      <c r="CL404" s="28"/>
      <c r="CM404" s="28"/>
      <c r="CN404" s="28"/>
      <c r="CO404" s="28"/>
      <c r="CP404" s="28"/>
      <c r="CQ404" s="28"/>
      <c r="CR404" s="28"/>
      <c r="CS404" s="28"/>
      <c r="CT404" s="28"/>
      <c r="CU404" s="28"/>
      <c r="CV404" s="28"/>
      <c r="CW404" s="28"/>
      <c r="CX404" s="28"/>
      <c r="CY404" s="28"/>
      <c r="CZ404" s="28"/>
      <c r="DA404" s="28"/>
      <c r="DB404" s="28"/>
      <c r="DC404" s="28"/>
      <c r="DD404" s="28"/>
      <c r="DE404" s="28"/>
      <c r="DF404" s="28"/>
      <c r="DG404" s="28"/>
      <c r="DH404" s="28"/>
      <c r="DI404" s="28"/>
      <c r="DJ404" s="28"/>
      <c r="DK404" s="29"/>
      <c r="DL404" s="29"/>
      <c r="DM404" s="29"/>
      <c r="DN404" s="29"/>
      <c r="DO404" s="29"/>
      <c r="DP404" s="29"/>
      <c r="DQ404" s="29"/>
      <c r="DR404" s="29"/>
      <c r="DS404" s="22"/>
      <c r="DT404" s="22"/>
      <c r="DU404" s="22"/>
      <c r="DV404" s="22"/>
    </row>
    <row r="405" spans="61:126" x14ac:dyDescent="0.25">
      <c r="BI405" s="22"/>
      <c r="BJ405" s="22"/>
      <c r="BK405" s="22"/>
      <c r="BL405" s="22"/>
      <c r="BM405" s="66"/>
      <c r="BN405" s="66"/>
      <c r="BO405" s="23"/>
      <c r="BP405" s="23"/>
      <c r="BQ405" s="23"/>
      <c r="BR405" s="24"/>
      <c r="BS405" s="24"/>
      <c r="BT405" s="68"/>
      <c r="BU405" s="68"/>
      <c r="BV405" s="25"/>
      <c r="BW405" s="26"/>
      <c r="BX405" s="27"/>
      <c r="BY405" s="28"/>
      <c r="BZ405" s="28"/>
      <c r="CA405" s="28"/>
      <c r="CB405" s="28"/>
      <c r="CC405" s="28"/>
      <c r="CD405" s="28"/>
      <c r="CE405" s="28"/>
      <c r="CF405" s="28"/>
      <c r="CG405" s="28"/>
      <c r="CH405" s="28"/>
      <c r="CI405" s="28"/>
      <c r="CJ405" s="28"/>
      <c r="CK405" s="28"/>
      <c r="CL405" s="28"/>
      <c r="CM405" s="28"/>
      <c r="CN405" s="28"/>
      <c r="CO405" s="28"/>
      <c r="CP405" s="28"/>
      <c r="CQ405" s="28"/>
      <c r="CR405" s="28"/>
      <c r="CS405" s="28"/>
      <c r="CT405" s="28"/>
      <c r="CU405" s="28"/>
      <c r="CV405" s="28"/>
      <c r="CW405" s="28"/>
      <c r="CX405" s="28"/>
      <c r="CY405" s="28"/>
      <c r="CZ405" s="28"/>
      <c r="DA405" s="28"/>
      <c r="DB405" s="28"/>
      <c r="DC405" s="28"/>
      <c r="DD405" s="28"/>
      <c r="DE405" s="28"/>
      <c r="DF405" s="28"/>
      <c r="DG405" s="28"/>
      <c r="DH405" s="28"/>
      <c r="DI405" s="28"/>
      <c r="DJ405" s="28"/>
      <c r="DK405" s="29"/>
      <c r="DL405" s="29"/>
      <c r="DM405" s="29"/>
      <c r="DN405" s="29"/>
      <c r="DO405" s="29"/>
      <c r="DP405" s="29"/>
      <c r="DQ405" s="29"/>
      <c r="DR405" s="29"/>
      <c r="DS405" s="22"/>
      <c r="DT405" s="22"/>
      <c r="DU405" s="22"/>
      <c r="DV405" s="22"/>
    </row>
    <row r="406" spans="61:126" x14ac:dyDescent="0.25">
      <c r="BI406" s="22"/>
      <c r="BJ406" s="22"/>
      <c r="BK406" s="22"/>
      <c r="BL406" s="22"/>
      <c r="BM406" s="66"/>
      <c r="BN406" s="66"/>
      <c r="BO406" s="23"/>
      <c r="BP406" s="23"/>
      <c r="BQ406" s="23"/>
      <c r="BR406" s="24"/>
      <c r="BS406" s="24"/>
      <c r="BT406" s="68"/>
      <c r="BU406" s="68"/>
      <c r="BV406" s="25"/>
      <c r="BW406" s="26"/>
      <c r="BX406" s="27"/>
      <c r="BY406" s="28"/>
      <c r="BZ406" s="28"/>
      <c r="CA406" s="28"/>
      <c r="CB406" s="28"/>
      <c r="CC406" s="28"/>
      <c r="CD406" s="28"/>
      <c r="CE406" s="28"/>
      <c r="CF406" s="28"/>
      <c r="CG406" s="28"/>
      <c r="CH406" s="28"/>
      <c r="CI406" s="28"/>
      <c r="CJ406" s="28"/>
      <c r="CK406" s="28"/>
      <c r="CL406" s="28"/>
      <c r="CM406" s="28"/>
      <c r="CN406" s="28"/>
      <c r="CO406" s="28"/>
      <c r="CP406" s="28"/>
      <c r="CQ406" s="28"/>
      <c r="CR406" s="28"/>
      <c r="CS406" s="28"/>
      <c r="CT406" s="28"/>
      <c r="CU406" s="28"/>
      <c r="CV406" s="28"/>
      <c r="CW406" s="28"/>
      <c r="CX406" s="28"/>
      <c r="CY406" s="28"/>
      <c r="CZ406" s="28"/>
      <c r="DA406" s="28"/>
      <c r="DB406" s="28"/>
      <c r="DC406" s="28"/>
      <c r="DD406" s="28"/>
      <c r="DE406" s="28"/>
      <c r="DF406" s="28"/>
      <c r="DG406" s="28"/>
      <c r="DH406" s="28"/>
      <c r="DI406" s="28"/>
      <c r="DJ406" s="28"/>
      <c r="DK406" s="29"/>
      <c r="DL406" s="29"/>
      <c r="DM406" s="29"/>
      <c r="DN406" s="29"/>
      <c r="DO406" s="29"/>
      <c r="DP406" s="29"/>
      <c r="DQ406" s="29"/>
      <c r="DR406" s="29"/>
      <c r="DS406" s="22"/>
      <c r="DT406" s="22"/>
      <c r="DU406" s="22"/>
      <c r="DV406" s="22"/>
    </row>
    <row r="407" spans="61:126" x14ac:dyDescent="0.25">
      <c r="BI407" s="22"/>
      <c r="BJ407" s="22"/>
      <c r="BK407" s="22"/>
      <c r="BL407" s="22"/>
      <c r="BM407" s="66"/>
      <c r="BN407" s="66"/>
      <c r="BO407" s="23"/>
      <c r="BP407" s="23"/>
      <c r="BQ407" s="23"/>
      <c r="BR407" s="24"/>
      <c r="BS407" s="24"/>
      <c r="BT407" s="68"/>
      <c r="BU407" s="68"/>
      <c r="BV407" s="25"/>
      <c r="BW407" s="26"/>
      <c r="BX407" s="27"/>
      <c r="BY407" s="28"/>
      <c r="BZ407" s="28"/>
      <c r="CA407" s="28"/>
      <c r="CB407" s="28"/>
      <c r="CC407" s="28"/>
      <c r="CD407" s="28"/>
      <c r="CE407" s="28"/>
      <c r="CF407" s="28"/>
      <c r="CG407" s="28"/>
      <c r="CH407" s="28"/>
      <c r="CI407" s="28"/>
      <c r="CJ407" s="28"/>
      <c r="CK407" s="28"/>
      <c r="CL407" s="28"/>
      <c r="CM407" s="28"/>
      <c r="CN407" s="28"/>
      <c r="CO407" s="28"/>
      <c r="CP407" s="28"/>
      <c r="CQ407" s="28"/>
      <c r="CR407" s="28"/>
      <c r="CS407" s="28"/>
      <c r="CT407" s="28"/>
      <c r="CU407" s="28"/>
      <c r="CV407" s="28"/>
      <c r="CW407" s="28"/>
      <c r="CX407" s="28"/>
      <c r="CY407" s="28"/>
      <c r="CZ407" s="28"/>
      <c r="DA407" s="28"/>
      <c r="DB407" s="28"/>
      <c r="DC407" s="28"/>
      <c r="DD407" s="28"/>
      <c r="DE407" s="28"/>
      <c r="DF407" s="28"/>
      <c r="DG407" s="28"/>
      <c r="DH407" s="28"/>
      <c r="DI407" s="28"/>
      <c r="DJ407" s="28"/>
      <c r="DK407" s="29"/>
      <c r="DL407" s="29"/>
      <c r="DM407" s="29"/>
      <c r="DN407" s="29"/>
      <c r="DO407" s="29"/>
      <c r="DP407" s="29"/>
      <c r="DQ407" s="29"/>
      <c r="DR407" s="29"/>
      <c r="DS407" s="22"/>
      <c r="DT407" s="22"/>
      <c r="DU407" s="22"/>
      <c r="DV407" s="22"/>
    </row>
    <row r="408" spans="61:126" x14ac:dyDescent="0.25">
      <c r="BI408" s="22"/>
      <c r="BJ408" s="22"/>
      <c r="BK408" s="22"/>
      <c r="BL408" s="22"/>
      <c r="BM408" s="66"/>
      <c r="BN408" s="66"/>
      <c r="BO408" s="23"/>
      <c r="BP408" s="23"/>
      <c r="BQ408" s="23"/>
      <c r="BR408" s="24"/>
      <c r="BS408" s="24"/>
      <c r="BT408" s="68"/>
      <c r="BU408" s="68"/>
      <c r="BV408" s="25"/>
      <c r="BW408" s="26"/>
      <c r="BX408" s="27"/>
      <c r="BY408" s="28"/>
      <c r="BZ408" s="28"/>
      <c r="CA408" s="28"/>
      <c r="CB408" s="28"/>
      <c r="CC408" s="28"/>
      <c r="CD408" s="28"/>
      <c r="CE408" s="28"/>
      <c r="CF408" s="28"/>
      <c r="CG408" s="28"/>
      <c r="CH408" s="28"/>
      <c r="CI408" s="28"/>
      <c r="CJ408" s="28"/>
      <c r="CK408" s="28"/>
      <c r="CL408" s="28"/>
      <c r="CM408" s="28"/>
      <c r="CN408" s="28"/>
      <c r="CO408" s="28"/>
      <c r="CP408" s="28"/>
      <c r="CQ408" s="28"/>
      <c r="CR408" s="28"/>
      <c r="CS408" s="28"/>
      <c r="CT408" s="28"/>
      <c r="CU408" s="28"/>
      <c r="CV408" s="28"/>
      <c r="CW408" s="28"/>
      <c r="CX408" s="28"/>
      <c r="CY408" s="28"/>
      <c r="CZ408" s="28"/>
      <c r="DA408" s="28"/>
      <c r="DB408" s="28"/>
      <c r="DC408" s="28"/>
      <c r="DD408" s="28"/>
      <c r="DE408" s="28"/>
      <c r="DF408" s="28"/>
      <c r="DG408" s="28"/>
      <c r="DH408" s="28"/>
      <c r="DI408" s="28"/>
      <c r="DJ408" s="28"/>
      <c r="DK408" s="29"/>
      <c r="DL408" s="29"/>
      <c r="DM408" s="29"/>
      <c r="DN408" s="29"/>
      <c r="DO408" s="29"/>
      <c r="DP408" s="29"/>
      <c r="DQ408" s="29"/>
      <c r="DR408" s="29"/>
      <c r="DS408" s="22"/>
      <c r="DT408" s="22"/>
      <c r="DU408" s="22"/>
      <c r="DV408" s="22"/>
    </row>
    <row r="409" spans="61:126" x14ac:dyDescent="0.25">
      <c r="BI409" s="22"/>
      <c r="BJ409" s="22"/>
      <c r="BK409" s="22"/>
      <c r="BL409" s="22"/>
      <c r="BM409" s="66"/>
      <c r="BN409" s="66"/>
      <c r="BO409" s="23"/>
      <c r="BP409" s="23"/>
      <c r="BQ409" s="23"/>
      <c r="BR409" s="24"/>
      <c r="BS409" s="24"/>
      <c r="BT409" s="68"/>
      <c r="BU409" s="68"/>
      <c r="BV409" s="25"/>
      <c r="BW409" s="26"/>
      <c r="BX409" s="27"/>
      <c r="BY409" s="28"/>
      <c r="BZ409" s="28"/>
      <c r="CA409" s="28"/>
      <c r="CB409" s="28"/>
      <c r="CC409" s="28"/>
      <c r="CD409" s="28"/>
      <c r="CE409" s="28"/>
      <c r="CF409" s="28"/>
      <c r="CG409" s="28"/>
      <c r="CH409" s="28"/>
      <c r="CI409" s="28"/>
      <c r="CJ409" s="28"/>
      <c r="CK409" s="28"/>
      <c r="CL409" s="28"/>
      <c r="CM409" s="28"/>
      <c r="CN409" s="28"/>
      <c r="CO409" s="28"/>
      <c r="CP409" s="28"/>
      <c r="CQ409" s="28"/>
      <c r="CR409" s="28"/>
      <c r="CS409" s="28"/>
      <c r="CT409" s="28"/>
      <c r="CU409" s="28"/>
      <c r="CV409" s="28"/>
      <c r="CW409" s="28"/>
      <c r="CX409" s="28"/>
      <c r="CY409" s="28"/>
      <c r="CZ409" s="28"/>
      <c r="DA409" s="28"/>
      <c r="DB409" s="28"/>
      <c r="DC409" s="28"/>
      <c r="DD409" s="28"/>
      <c r="DE409" s="28"/>
      <c r="DF409" s="28"/>
      <c r="DG409" s="28"/>
      <c r="DH409" s="28"/>
      <c r="DI409" s="28"/>
      <c r="DJ409" s="28"/>
      <c r="DK409" s="29"/>
      <c r="DL409" s="29"/>
      <c r="DM409" s="29"/>
      <c r="DN409" s="29"/>
      <c r="DO409" s="29"/>
      <c r="DP409" s="29"/>
      <c r="DQ409" s="29"/>
      <c r="DR409" s="29"/>
      <c r="DS409" s="22"/>
      <c r="DT409" s="22"/>
      <c r="DU409" s="22"/>
      <c r="DV409" s="22"/>
    </row>
    <row r="410" spans="61:126" x14ac:dyDescent="0.25">
      <c r="BI410" s="22"/>
      <c r="BJ410" s="22"/>
      <c r="BK410" s="22"/>
      <c r="BL410" s="22"/>
      <c r="BM410" s="66"/>
      <c r="BN410" s="66"/>
      <c r="BO410" s="23"/>
      <c r="BP410" s="23"/>
      <c r="BQ410" s="23"/>
      <c r="BR410" s="24"/>
      <c r="BS410" s="24"/>
      <c r="BT410" s="68"/>
      <c r="BU410" s="68"/>
      <c r="BV410" s="25"/>
      <c r="BW410" s="26"/>
      <c r="BX410" s="27"/>
      <c r="BY410" s="28"/>
      <c r="BZ410" s="28"/>
      <c r="CA410" s="28"/>
      <c r="CB410" s="28"/>
      <c r="CC410" s="28"/>
      <c r="CD410" s="28"/>
      <c r="CE410" s="28"/>
      <c r="CF410" s="28"/>
      <c r="CG410" s="28"/>
      <c r="CH410" s="28"/>
      <c r="CI410" s="28"/>
      <c r="CJ410" s="28"/>
      <c r="CK410" s="28"/>
      <c r="CL410" s="28"/>
      <c r="CM410" s="28"/>
      <c r="CN410" s="28"/>
      <c r="CO410" s="28"/>
      <c r="CP410" s="28"/>
      <c r="CQ410" s="28"/>
      <c r="CR410" s="28"/>
      <c r="CS410" s="28"/>
      <c r="CT410" s="28"/>
      <c r="CU410" s="28"/>
      <c r="CV410" s="28"/>
      <c r="CW410" s="28"/>
      <c r="CX410" s="28"/>
      <c r="CY410" s="28"/>
      <c r="CZ410" s="28"/>
      <c r="DA410" s="28"/>
      <c r="DB410" s="28"/>
      <c r="DC410" s="28"/>
      <c r="DD410" s="28"/>
      <c r="DE410" s="28"/>
      <c r="DF410" s="28"/>
      <c r="DG410" s="28"/>
      <c r="DH410" s="28"/>
      <c r="DI410" s="28"/>
      <c r="DJ410" s="28"/>
      <c r="DK410" s="29"/>
      <c r="DL410" s="29"/>
      <c r="DM410" s="29"/>
      <c r="DN410" s="29"/>
      <c r="DO410" s="29"/>
      <c r="DP410" s="29"/>
      <c r="DQ410" s="29"/>
      <c r="DR410" s="29"/>
      <c r="DS410" s="22"/>
      <c r="DT410" s="22"/>
      <c r="DU410" s="22"/>
      <c r="DV410" s="22"/>
    </row>
    <row r="411" spans="61:126" x14ac:dyDescent="0.25">
      <c r="BI411" s="22"/>
      <c r="BJ411" s="22"/>
      <c r="BK411" s="22"/>
      <c r="BL411" s="22"/>
      <c r="BM411" s="66"/>
      <c r="BN411" s="66"/>
      <c r="BO411" s="23"/>
      <c r="BP411" s="23"/>
      <c r="BQ411" s="23"/>
      <c r="BR411" s="24"/>
      <c r="BS411" s="24"/>
      <c r="BT411" s="68"/>
      <c r="BU411" s="68"/>
      <c r="BV411" s="25"/>
      <c r="BW411" s="26"/>
      <c r="BX411" s="27"/>
      <c r="BY411" s="28"/>
      <c r="BZ411" s="28"/>
      <c r="CA411" s="28"/>
      <c r="CB411" s="28"/>
      <c r="CC411" s="28"/>
      <c r="CD411" s="28"/>
      <c r="CE411" s="28"/>
      <c r="CF411" s="28"/>
      <c r="CG411" s="28"/>
      <c r="CH411" s="28"/>
      <c r="CI411" s="28"/>
      <c r="CJ411" s="28"/>
      <c r="CK411" s="28"/>
      <c r="CL411" s="28"/>
      <c r="CM411" s="28"/>
      <c r="CN411" s="28"/>
      <c r="CO411" s="28"/>
      <c r="CP411" s="28"/>
      <c r="CQ411" s="28"/>
      <c r="CR411" s="28"/>
      <c r="CS411" s="28"/>
      <c r="CT411" s="28"/>
      <c r="CU411" s="28"/>
      <c r="CV411" s="28"/>
      <c r="CW411" s="28"/>
      <c r="CX411" s="28"/>
      <c r="CY411" s="28"/>
      <c r="CZ411" s="28"/>
      <c r="DA411" s="28"/>
      <c r="DB411" s="28"/>
      <c r="DC411" s="28"/>
      <c r="DD411" s="28"/>
      <c r="DE411" s="28"/>
      <c r="DF411" s="28"/>
      <c r="DG411" s="28"/>
      <c r="DH411" s="28"/>
      <c r="DI411" s="28"/>
      <c r="DJ411" s="28"/>
      <c r="DK411" s="29"/>
      <c r="DL411" s="29"/>
      <c r="DM411" s="29"/>
      <c r="DN411" s="29"/>
      <c r="DO411" s="29"/>
      <c r="DP411" s="29"/>
      <c r="DQ411" s="29"/>
      <c r="DR411" s="29"/>
      <c r="DS411" s="22"/>
      <c r="DT411" s="22"/>
      <c r="DU411" s="22"/>
      <c r="DV411" s="22"/>
    </row>
    <row r="412" spans="61:126" x14ac:dyDescent="0.25">
      <c r="BI412" s="22"/>
      <c r="BJ412" s="22"/>
      <c r="BK412" s="22"/>
      <c r="BL412" s="22"/>
      <c r="BM412" s="66"/>
      <c r="BN412" s="66"/>
      <c r="BO412" s="23"/>
      <c r="BP412" s="23"/>
      <c r="BQ412" s="23"/>
      <c r="BR412" s="24"/>
      <c r="BS412" s="24"/>
      <c r="BT412" s="68"/>
      <c r="BU412" s="68"/>
      <c r="BV412" s="25"/>
      <c r="BW412" s="26"/>
      <c r="BX412" s="27"/>
      <c r="BY412" s="28"/>
      <c r="BZ412" s="28"/>
      <c r="CA412" s="28"/>
      <c r="CB412" s="28"/>
      <c r="CC412" s="28"/>
      <c r="CD412" s="28"/>
      <c r="CE412" s="28"/>
      <c r="CF412" s="28"/>
      <c r="CG412" s="28"/>
      <c r="CH412" s="28"/>
      <c r="CI412" s="28"/>
      <c r="CJ412" s="28"/>
      <c r="CK412" s="28"/>
      <c r="CL412" s="28"/>
      <c r="CM412" s="28"/>
      <c r="CN412" s="28"/>
      <c r="CO412" s="28"/>
      <c r="CP412" s="28"/>
      <c r="CQ412" s="28"/>
      <c r="CR412" s="28"/>
      <c r="CS412" s="28"/>
      <c r="CT412" s="28"/>
      <c r="CU412" s="28"/>
      <c r="CV412" s="28"/>
      <c r="CW412" s="28"/>
      <c r="CX412" s="28"/>
      <c r="CY412" s="28"/>
      <c r="CZ412" s="28"/>
      <c r="DA412" s="28"/>
      <c r="DB412" s="28"/>
      <c r="DC412" s="28"/>
      <c r="DD412" s="28"/>
      <c r="DE412" s="28"/>
      <c r="DF412" s="28"/>
      <c r="DG412" s="28"/>
      <c r="DH412" s="28"/>
      <c r="DI412" s="28"/>
      <c r="DJ412" s="28"/>
      <c r="DK412" s="29"/>
      <c r="DL412" s="29"/>
      <c r="DM412" s="29"/>
      <c r="DN412" s="29"/>
      <c r="DO412" s="29"/>
      <c r="DP412" s="29"/>
      <c r="DQ412" s="29"/>
      <c r="DR412" s="29"/>
      <c r="DS412" s="22"/>
      <c r="DT412" s="22"/>
      <c r="DU412" s="22"/>
      <c r="DV412" s="22"/>
    </row>
    <row r="413" spans="61:126" x14ac:dyDescent="0.25">
      <c r="BI413" s="22"/>
      <c r="BJ413" s="22"/>
      <c r="BK413" s="22"/>
      <c r="BL413" s="22"/>
      <c r="BM413" s="66"/>
      <c r="BN413" s="66"/>
      <c r="BO413" s="23"/>
      <c r="BP413" s="23"/>
      <c r="BQ413" s="23"/>
      <c r="BR413" s="24"/>
      <c r="BS413" s="24"/>
      <c r="BT413" s="68"/>
      <c r="BU413" s="68"/>
      <c r="BV413" s="25"/>
      <c r="BW413" s="26"/>
      <c r="BX413" s="27"/>
      <c r="BY413" s="28"/>
      <c r="BZ413" s="28"/>
      <c r="CA413" s="28"/>
      <c r="CB413" s="28"/>
      <c r="CC413" s="28"/>
      <c r="CD413" s="28"/>
      <c r="CE413" s="28"/>
      <c r="CF413" s="28"/>
      <c r="CG413" s="28"/>
      <c r="CH413" s="28"/>
      <c r="CI413" s="28"/>
      <c r="CJ413" s="28"/>
      <c r="CK413" s="28"/>
      <c r="CL413" s="28"/>
      <c r="CM413" s="28"/>
      <c r="CN413" s="28"/>
      <c r="CO413" s="28"/>
      <c r="CP413" s="28"/>
      <c r="CQ413" s="28"/>
      <c r="CR413" s="28"/>
      <c r="CS413" s="28"/>
      <c r="CT413" s="28"/>
      <c r="CU413" s="28"/>
      <c r="CV413" s="28"/>
      <c r="CW413" s="28"/>
      <c r="CX413" s="28"/>
      <c r="CY413" s="28"/>
      <c r="CZ413" s="28"/>
      <c r="DA413" s="28"/>
      <c r="DB413" s="28"/>
      <c r="DC413" s="28"/>
      <c r="DD413" s="28"/>
      <c r="DE413" s="28"/>
      <c r="DF413" s="28"/>
      <c r="DG413" s="28"/>
      <c r="DH413" s="28"/>
      <c r="DI413" s="28"/>
      <c r="DJ413" s="28"/>
      <c r="DK413" s="29"/>
      <c r="DL413" s="29"/>
      <c r="DM413" s="29"/>
      <c r="DN413" s="29"/>
      <c r="DO413" s="29"/>
      <c r="DP413" s="29"/>
      <c r="DQ413" s="29"/>
      <c r="DR413" s="29"/>
      <c r="DS413" s="22"/>
      <c r="DT413" s="22"/>
      <c r="DU413" s="22"/>
      <c r="DV413" s="22"/>
    </row>
    <row r="414" spans="61:126" x14ac:dyDescent="0.25">
      <c r="BI414" s="22"/>
      <c r="BJ414" s="22"/>
      <c r="BK414" s="22"/>
      <c r="BL414" s="22"/>
      <c r="BM414" s="66"/>
      <c r="BN414" s="66"/>
      <c r="BO414" s="23"/>
      <c r="BP414" s="23"/>
      <c r="BQ414" s="23"/>
      <c r="BR414" s="24"/>
      <c r="BS414" s="24"/>
      <c r="BT414" s="68"/>
      <c r="BU414" s="68"/>
      <c r="BV414" s="25"/>
      <c r="BW414" s="26"/>
      <c r="BX414" s="27"/>
      <c r="BY414" s="28"/>
      <c r="BZ414" s="28"/>
      <c r="CA414" s="28"/>
      <c r="CB414" s="28"/>
      <c r="CC414" s="28"/>
      <c r="CD414" s="28"/>
      <c r="CE414" s="28"/>
      <c r="CF414" s="28"/>
      <c r="CG414" s="28"/>
      <c r="CH414" s="28"/>
      <c r="CI414" s="28"/>
      <c r="CJ414" s="28"/>
      <c r="CK414" s="28"/>
      <c r="CL414" s="28"/>
      <c r="CM414" s="28"/>
      <c r="CN414" s="28"/>
      <c r="CO414" s="28"/>
      <c r="CP414" s="28"/>
      <c r="CQ414" s="28"/>
      <c r="CR414" s="28"/>
      <c r="CS414" s="28"/>
      <c r="CT414" s="28"/>
      <c r="CU414" s="28"/>
      <c r="CV414" s="28"/>
      <c r="CW414" s="28"/>
      <c r="CX414" s="28"/>
      <c r="CY414" s="28"/>
      <c r="CZ414" s="28"/>
      <c r="DA414" s="28"/>
      <c r="DB414" s="28"/>
      <c r="DC414" s="28"/>
      <c r="DD414" s="28"/>
      <c r="DE414" s="28"/>
      <c r="DF414" s="28"/>
      <c r="DG414" s="28"/>
      <c r="DH414" s="28"/>
      <c r="DI414" s="28"/>
      <c r="DJ414" s="28"/>
      <c r="DK414" s="29"/>
      <c r="DL414" s="29"/>
      <c r="DM414" s="29"/>
      <c r="DN414" s="29"/>
      <c r="DO414" s="29"/>
      <c r="DP414" s="29"/>
      <c r="DQ414" s="29"/>
      <c r="DR414" s="29"/>
      <c r="DS414" s="22"/>
      <c r="DT414" s="22"/>
      <c r="DU414" s="22"/>
      <c r="DV414" s="22"/>
    </row>
    <row r="415" spans="61:126" x14ac:dyDescent="0.25">
      <c r="BI415" s="22"/>
      <c r="BJ415" s="22"/>
      <c r="BK415" s="22"/>
      <c r="BL415" s="22"/>
      <c r="BM415" s="66"/>
      <c r="BN415" s="66"/>
      <c r="BO415" s="23"/>
      <c r="BP415" s="23"/>
      <c r="BQ415" s="23"/>
      <c r="BR415" s="24"/>
      <c r="BS415" s="24"/>
      <c r="BT415" s="68"/>
      <c r="BU415" s="68"/>
      <c r="BV415" s="25"/>
      <c r="BW415" s="26"/>
      <c r="BX415" s="27"/>
      <c r="BY415" s="28"/>
      <c r="BZ415" s="28"/>
      <c r="CA415" s="28"/>
      <c r="CB415" s="28"/>
      <c r="CC415" s="28"/>
      <c r="CD415" s="28"/>
      <c r="CE415" s="28"/>
      <c r="CF415" s="28"/>
      <c r="CG415" s="28"/>
      <c r="CH415" s="28"/>
      <c r="CI415" s="28"/>
      <c r="CJ415" s="28"/>
      <c r="CK415" s="28"/>
      <c r="CL415" s="28"/>
      <c r="CM415" s="28"/>
      <c r="CN415" s="28"/>
      <c r="CO415" s="28"/>
      <c r="CP415" s="28"/>
      <c r="CQ415" s="28"/>
      <c r="CR415" s="28"/>
      <c r="CS415" s="28"/>
      <c r="CT415" s="28"/>
      <c r="CU415" s="28"/>
      <c r="CV415" s="28"/>
      <c r="CW415" s="28"/>
      <c r="CX415" s="28"/>
      <c r="CY415" s="28"/>
      <c r="CZ415" s="28"/>
      <c r="DA415" s="28"/>
      <c r="DB415" s="28"/>
      <c r="DC415" s="28"/>
      <c r="DD415" s="28"/>
      <c r="DE415" s="28"/>
      <c r="DF415" s="28"/>
      <c r="DG415" s="28"/>
      <c r="DH415" s="28"/>
      <c r="DI415" s="28"/>
      <c r="DJ415" s="28"/>
      <c r="DK415" s="29"/>
      <c r="DL415" s="29"/>
      <c r="DM415" s="29"/>
      <c r="DN415" s="29"/>
      <c r="DO415" s="29"/>
      <c r="DP415" s="29"/>
      <c r="DQ415" s="29"/>
      <c r="DR415" s="29"/>
      <c r="DS415" s="22"/>
      <c r="DT415" s="22"/>
      <c r="DU415" s="22"/>
      <c r="DV415" s="22"/>
    </row>
    <row r="416" spans="61:126" x14ac:dyDescent="0.25">
      <c r="BI416" s="22"/>
      <c r="BJ416" s="22"/>
      <c r="BK416" s="22"/>
      <c r="BL416" s="22"/>
      <c r="BM416" s="66"/>
      <c r="BN416" s="66"/>
      <c r="BO416" s="23"/>
      <c r="BP416" s="23"/>
      <c r="BQ416" s="23"/>
      <c r="BR416" s="24"/>
      <c r="BS416" s="24"/>
      <c r="BT416" s="68"/>
      <c r="BU416" s="68"/>
      <c r="BV416" s="25"/>
      <c r="BW416" s="26"/>
      <c r="BX416" s="27"/>
      <c r="BY416" s="28"/>
      <c r="BZ416" s="28"/>
      <c r="CA416" s="28"/>
      <c r="CB416" s="28"/>
      <c r="CC416" s="28"/>
      <c r="CD416" s="28"/>
      <c r="CE416" s="28"/>
      <c r="CF416" s="28"/>
      <c r="CG416" s="28"/>
      <c r="CH416" s="28"/>
      <c r="CI416" s="28"/>
      <c r="CJ416" s="28"/>
      <c r="CK416" s="28"/>
      <c r="CL416" s="28"/>
      <c r="CM416" s="28"/>
      <c r="CN416" s="28"/>
      <c r="CO416" s="28"/>
      <c r="CP416" s="28"/>
      <c r="CQ416" s="28"/>
      <c r="CR416" s="28"/>
      <c r="CS416" s="28"/>
      <c r="CT416" s="28"/>
      <c r="CU416" s="28"/>
      <c r="CV416" s="28"/>
      <c r="CW416" s="28"/>
      <c r="CX416" s="28"/>
      <c r="CY416" s="28"/>
      <c r="CZ416" s="28"/>
      <c r="DA416" s="28"/>
      <c r="DB416" s="28"/>
      <c r="DC416" s="28"/>
      <c r="DD416" s="28"/>
      <c r="DE416" s="28"/>
      <c r="DF416" s="28"/>
      <c r="DG416" s="28"/>
      <c r="DH416" s="28"/>
      <c r="DI416" s="28"/>
      <c r="DJ416" s="28"/>
      <c r="DK416" s="29"/>
      <c r="DL416" s="29"/>
      <c r="DM416" s="29"/>
      <c r="DN416" s="29"/>
      <c r="DO416" s="29"/>
      <c r="DP416" s="29"/>
      <c r="DQ416" s="29"/>
      <c r="DR416" s="29"/>
      <c r="DS416" s="22"/>
      <c r="DT416" s="22"/>
      <c r="DU416" s="22"/>
      <c r="DV416" s="22"/>
    </row>
    <row r="417" spans="61:126" x14ac:dyDescent="0.25">
      <c r="BI417" s="22"/>
      <c r="BJ417" s="22"/>
      <c r="BK417" s="22"/>
      <c r="BL417" s="22"/>
      <c r="BM417" s="66"/>
      <c r="BN417" s="66"/>
      <c r="BO417" s="23"/>
      <c r="BP417" s="23"/>
      <c r="BQ417" s="23"/>
      <c r="BR417" s="24"/>
      <c r="BS417" s="24"/>
      <c r="BT417" s="68"/>
      <c r="BU417" s="68"/>
      <c r="BV417" s="25"/>
      <c r="BW417" s="26"/>
      <c r="BX417" s="27"/>
      <c r="BY417" s="28"/>
      <c r="BZ417" s="28"/>
      <c r="CA417" s="28"/>
      <c r="CB417" s="28"/>
      <c r="CC417" s="28"/>
      <c r="CD417" s="28"/>
      <c r="CE417" s="28"/>
      <c r="CF417" s="28"/>
      <c r="CG417" s="28"/>
      <c r="CH417" s="28"/>
      <c r="CI417" s="28"/>
      <c r="CJ417" s="28"/>
      <c r="CK417" s="28"/>
      <c r="CL417" s="28"/>
      <c r="CM417" s="28"/>
      <c r="CN417" s="28"/>
      <c r="CO417" s="28"/>
      <c r="CP417" s="28"/>
      <c r="CQ417" s="28"/>
      <c r="CR417" s="28"/>
      <c r="CS417" s="28"/>
      <c r="CT417" s="28"/>
      <c r="CU417" s="28"/>
      <c r="CV417" s="28"/>
      <c r="CW417" s="28"/>
      <c r="CX417" s="28"/>
      <c r="CY417" s="28"/>
      <c r="CZ417" s="28"/>
      <c r="DA417" s="28"/>
      <c r="DB417" s="28"/>
      <c r="DC417" s="28"/>
      <c r="DD417" s="28"/>
      <c r="DE417" s="28"/>
      <c r="DF417" s="28"/>
      <c r="DG417" s="28"/>
      <c r="DH417" s="28"/>
      <c r="DI417" s="28"/>
      <c r="DJ417" s="28"/>
      <c r="DK417" s="29"/>
      <c r="DL417" s="29"/>
      <c r="DM417" s="29"/>
      <c r="DN417" s="29"/>
      <c r="DO417" s="29"/>
      <c r="DP417" s="29"/>
      <c r="DQ417" s="29"/>
      <c r="DR417" s="29"/>
      <c r="DS417" s="22"/>
      <c r="DT417" s="22"/>
      <c r="DU417" s="22"/>
      <c r="DV417" s="22"/>
    </row>
    <row r="418" spans="61:126" x14ac:dyDescent="0.25">
      <c r="BI418" s="22"/>
      <c r="BJ418" s="22"/>
      <c r="BK418" s="22"/>
      <c r="BL418" s="22"/>
      <c r="BM418" s="66"/>
      <c r="BN418" s="66"/>
      <c r="BO418" s="23"/>
      <c r="BP418" s="23"/>
      <c r="BQ418" s="23"/>
      <c r="BR418" s="24"/>
      <c r="BS418" s="24"/>
      <c r="BT418" s="68"/>
      <c r="BU418" s="68"/>
      <c r="BV418" s="25"/>
      <c r="BW418" s="26"/>
      <c r="BX418" s="27"/>
      <c r="BY418" s="28"/>
      <c r="BZ418" s="28"/>
      <c r="CA418" s="28"/>
      <c r="CB418" s="28"/>
      <c r="CC418" s="28"/>
      <c r="CD418" s="28"/>
      <c r="CE418" s="28"/>
      <c r="CF418" s="28"/>
      <c r="CG418" s="28"/>
      <c r="CH418" s="28"/>
      <c r="CI418" s="28"/>
      <c r="CJ418" s="28"/>
      <c r="CK418" s="28"/>
      <c r="CL418" s="28"/>
      <c r="CM418" s="28"/>
      <c r="CN418" s="28"/>
      <c r="CO418" s="28"/>
      <c r="CP418" s="28"/>
      <c r="CQ418" s="28"/>
      <c r="CR418" s="28"/>
      <c r="CS418" s="28"/>
      <c r="CT418" s="28"/>
      <c r="CU418" s="28"/>
      <c r="CV418" s="28"/>
      <c r="CW418" s="28"/>
      <c r="CX418" s="28"/>
      <c r="CY418" s="28"/>
      <c r="CZ418" s="28"/>
      <c r="DA418" s="28"/>
      <c r="DB418" s="28"/>
      <c r="DC418" s="28"/>
      <c r="DD418" s="28"/>
      <c r="DE418" s="28"/>
      <c r="DF418" s="28"/>
      <c r="DG418" s="28"/>
      <c r="DH418" s="28"/>
      <c r="DI418" s="28"/>
      <c r="DJ418" s="28"/>
      <c r="DK418" s="29"/>
      <c r="DL418" s="29"/>
      <c r="DM418" s="29"/>
      <c r="DN418" s="29"/>
      <c r="DO418" s="29"/>
      <c r="DP418" s="29"/>
      <c r="DQ418" s="29"/>
      <c r="DR418" s="29"/>
      <c r="DS418" s="22"/>
      <c r="DT418" s="22"/>
      <c r="DU418" s="22"/>
      <c r="DV418" s="22"/>
    </row>
    <row r="419" spans="61:126" x14ac:dyDescent="0.25">
      <c r="BI419" s="22"/>
      <c r="BJ419" s="22"/>
      <c r="BK419" s="22"/>
      <c r="BL419" s="22"/>
      <c r="BM419" s="66"/>
      <c r="BN419" s="66"/>
      <c r="BO419" s="23"/>
      <c r="BP419" s="23"/>
      <c r="BQ419" s="23"/>
      <c r="BR419" s="24"/>
      <c r="BS419" s="24"/>
      <c r="BT419" s="68"/>
      <c r="BU419" s="68"/>
      <c r="BV419" s="25"/>
      <c r="BW419" s="26"/>
      <c r="BX419" s="27"/>
      <c r="BY419" s="28"/>
      <c r="BZ419" s="28"/>
      <c r="CA419" s="28"/>
      <c r="CB419" s="28"/>
      <c r="CC419" s="28"/>
      <c r="CD419" s="28"/>
      <c r="CE419" s="28"/>
      <c r="CF419" s="28"/>
      <c r="CG419" s="28"/>
      <c r="CH419" s="28"/>
      <c r="CI419" s="28"/>
      <c r="CJ419" s="28"/>
      <c r="CK419" s="28"/>
      <c r="CL419" s="28"/>
      <c r="CM419" s="28"/>
      <c r="CN419" s="28"/>
      <c r="CO419" s="28"/>
      <c r="CP419" s="28"/>
      <c r="CQ419" s="28"/>
      <c r="CR419" s="28"/>
      <c r="CS419" s="28"/>
      <c r="CT419" s="28"/>
      <c r="CU419" s="28"/>
      <c r="CV419" s="28"/>
      <c r="CW419" s="28"/>
      <c r="CX419" s="28"/>
      <c r="CY419" s="28"/>
      <c r="CZ419" s="28"/>
      <c r="DA419" s="28"/>
      <c r="DB419" s="28"/>
      <c r="DC419" s="28"/>
      <c r="DD419" s="28"/>
      <c r="DE419" s="28"/>
      <c r="DF419" s="28"/>
      <c r="DG419" s="28"/>
      <c r="DH419" s="28"/>
      <c r="DI419" s="28"/>
      <c r="DJ419" s="28"/>
      <c r="DK419" s="29"/>
      <c r="DL419" s="29"/>
      <c r="DM419" s="29"/>
      <c r="DN419" s="29"/>
      <c r="DO419" s="29"/>
      <c r="DP419" s="29"/>
      <c r="DQ419" s="29"/>
      <c r="DR419" s="29"/>
      <c r="DS419" s="22"/>
      <c r="DT419" s="22"/>
      <c r="DU419" s="22"/>
      <c r="DV419" s="22"/>
    </row>
    <row r="420" spans="61:126" x14ac:dyDescent="0.25">
      <c r="BI420" s="22"/>
      <c r="BJ420" s="22"/>
      <c r="BK420" s="22"/>
      <c r="BL420" s="22"/>
      <c r="BM420" s="66"/>
      <c r="BN420" s="66"/>
      <c r="BO420" s="23"/>
      <c r="BP420" s="23"/>
      <c r="BQ420" s="23"/>
      <c r="BR420" s="24"/>
      <c r="BS420" s="24"/>
      <c r="BT420" s="68"/>
      <c r="BU420" s="68"/>
      <c r="BV420" s="25"/>
      <c r="BW420" s="26"/>
      <c r="BX420" s="27"/>
      <c r="BY420" s="28"/>
      <c r="BZ420" s="28"/>
      <c r="CA420" s="28"/>
      <c r="CB420" s="28"/>
      <c r="CC420" s="28"/>
      <c r="CD420" s="28"/>
      <c r="CE420" s="28"/>
      <c r="CF420" s="28"/>
      <c r="CG420" s="28"/>
      <c r="CH420" s="28"/>
      <c r="CI420" s="28"/>
      <c r="CJ420" s="28"/>
      <c r="CK420" s="28"/>
      <c r="CL420" s="28"/>
      <c r="CM420" s="28"/>
      <c r="CN420" s="28"/>
      <c r="CO420" s="28"/>
      <c r="CP420" s="28"/>
      <c r="CQ420" s="28"/>
      <c r="CR420" s="28"/>
      <c r="CS420" s="28"/>
      <c r="CT420" s="28"/>
      <c r="CU420" s="28"/>
      <c r="CV420" s="28"/>
      <c r="CW420" s="28"/>
      <c r="CX420" s="28"/>
      <c r="CY420" s="28"/>
      <c r="CZ420" s="28"/>
      <c r="DA420" s="28"/>
      <c r="DB420" s="28"/>
      <c r="DC420" s="28"/>
      <c r="DD420" s="28"/>
      <c r="DE420" s="28"/>
      <c r="DF420" s="28"/>
      <c r="DG420" s="28"/>
      <c r="DH420" s="28"/>
      <c r="DI420" s="28"/>
      <c r="DJ420" s="28"/>
      <c r="DK420" s="29"/>
      <c r="DL420" s="29"/>
      <c r="DM420" s="29"/>
      <c r="DN420" s="29"/>
      <c r="DO420" s="29"/>
      <c r="DP420" s="29"/>
      <c r="DQ420" s="29"/>
      <c r="DR420" s="29"/>
      <c r="DS420" s="22"/>
      <c r="DT420" s="22"/>
      <c r="DU420" s="22"/>
      <c r="DV420" s="22"/>
    </row>
    <row r="421" spans="61:126" x14ac:dyDescent="0.25">
      <c r="BI421" s="22"/>
      <c r="BJ421" s="22"/>
      <c r="BK421" s="22"/>
      <c r="BL421" s="22"/>
      <c r="BM421" s="66"/>
      <c r="BN421" s="66"/>
      <c r="BO421" s="23"/>
      <c r="BP421" s="23"/>
      <c r="BQ421" s="23"/>
      <c r="BR421" s="24"/>
      <c r="BS421" s="24"/>
      <c r="BT421" s="68"/>
      <c r="BU421" s="68"/>
      <c r="BV421" s="25"/>
      <c r="BW421" s="26"/>
      <c r="BX421" s="27"/>
      <c r="BY421" s="28"/>
      <c r="BZ421" s="28"/>
      <c r="CA421" s="28"/>
      <c r="CB421" s="28"/>
      <c r="CC421" s="28"/>
      <c r="CD421" s="28"/>
      <c r="CE421" s="28"/>
      <c r="CF421" s="28"/>
      <c r="CG421" s="28"/>
      <c r="CH421" s="28"/>
      <c r="CI421" s="28"/>
      <c r="CJ421" s="28"/>
      <c r="CK421" s="28"/>
      <c r="CL421" s="28"/>
      <c r="CM421" s="28"/>
      <c r="CN421" s="28"/>
      <c r="CO421" s="28"/>
      <c r="CP421" s="28"/>
      <c r="CQ421" s="28"/>
      <c r="CR421" s="28"/>
      <c r="CS421" s="28"/>
      <c r="CT421" s="28"/>
      <c r="CU421" s="28"/>
      <c r="CV421" s="28"/>
      <c r="CW421" s="28"/>
      <c r="CX421" s="28"/>
      <c r="CY421" s="28"/>
      <c r="CZ421" s="28"/>
      <c r="DA421" s="28"/>
      <c r="DB421" s="28"/>
      <c r="DC421" s="28"/>
      <c r="DD421" s="28"/>
      <c r="DE421" s="28"/>
      <c r="DF421" s="28"/>
      <c r="DG421" s="28"/>
      <c r="DH421" s="28"/>
      <c r="DI421" s="28"/>
      <c r="DJ421" s="28"/>
      <c r="DK421" s="29"/>
      <c r="DL421" s="29"/>
      <c r="DM421" s="29"/>
      <c r="DN421" s="29"/>
      <c r="DO421" s="29"/>
      <c r="DP421" s="29"/>
      <c r="DQ421" s="29"/>
      <c r="DR421" s="29"/>
      <c r="DS421" s="22"/>
      <c r="DT421" s="22"/>
      <c r="DU421" s="22"/>
      <c r="DV421" s="22"/>
    </row>
    <row r="422" spans="61:126" x14ac:dyDescent="0.25">
      <c r="BI422" s="22"/>
      <c r="BJ422" s="22"/>
      <c r="BK422" s="22"/>
      <c r="BL422" s="22"/>
      <c r="BM422" s="66"/>
      <c r="BN422" s="66"/>
      <c r="BO422" s="23"/>
      <c r="BP422" s="23"/>
      <c r="BQ422" s="23"/>
      <c r="BR422" s="24"/>
      <c r="BS422" s="24"/>
      <c r="BT422" s="68"/>
      <c r="BU422" s="68"/>
      <c r="BV422" s="25"/>
      <c r="BW422" s="26"/>
      <c r="BX422" s="27"/>
      <c r="BY422" s="28"/>
      <c r="BZ422" s="28"/>
      <c r="CA422" s="28"/>
      <c r="CB422" s="28"/>
      <c r="CC422" s="28"/>
      <c r="CD422" s="28"/>
      <c r="CE422" s="28"/>
      <c r="CF422" s="28"/>
      <c r="CG422" s="28"/>
      <c r="CH422" s="28"/>
      <c r="CI422" s="28"/>
      <c r="CJ422" s="28"/>
      <c r="CK422" s="28"/>
      <c r="CL422" s="28"/>
      <c r="CM422" s="28"/>
      <c r="CN422" s="28"/>
      <c r="CO422" s="28"/>
      <c r="CP422" s="28"/>
      <c r="CQ422" s="28"/>
      <c r="CR422" s="28"/>
      <c r="CS422" s="28"/>
      <c r="CT422" s="28"/>
      <c r="CU422" s="28"/>
      <c r="CV422" s="28"/>
      <c r="CW422" s="28"/>
      <c r="CX422" s="28"/>
      <c r="CY422" s="28"/>
      <c r="CZ422" s="28"/>
      <c r="DA422" s="28"/>
      <c r="DB422" s="28"/>
      <c r="DC422" s="28"/>
      <c r="DD422" s="28"/>
      <c r="DE422" s="28"/>
      <c r="DF422" s="28"/>
      <c r="DG422" s="28"/>
      <c r="DH422" s="28"/>
      <c r="DI422" s="28"/>
      <c r="DJ422" s="28"/>
      <c r="DK422" s="29"/>
      <c r="DL422" s="29"/>
      <c r="DM422" s="29"/>
      <c r="DN422" s="29"/>
      <c r="DO422" s="29"/>
      <c r="DP422" s="29"/>
      <c r="DQ422" s="29"/>
      <c r="DR422" s="29"/>
      <c r="DS422" s="22"/>
      <c r="DT422" s="22"/>
      <c r="DU422" s="22"/>
      <c r="DV422" s="22"/>
    </row>
    <row r="423" spans="61:126" x14ac:dyDescent="0.25">
      <c r="BI423" s="22"/>
      <c r="BJ423" s="22"/>
      <c r="BK423" s="22"/>
      <c r="BL423" s="22"/>
      <c r="BM423" s="66"/>
      <c r="BN423" s="66"/>
      <c r="BO423" s="23"/>
      <c r="BP423" s="23"/>
      <c r="BQ423" s="23"/>
      <c r="BR423" s="24"/>
      <c r="BS423" s="24"/>
      <c r="BT423" s="68"/>
      <c r="BU423" s="68"/>
      <c r="BV423" s="25"/>
      <c r="BW423" s="26"/>
      <c r="BX423" s="27"/>
      <c r="BY423" s="28"/>
      <c r="BZ423" s="28"/>
      <c r="CA423" s="28"/>
      <c r="CB423" s="28"/>
      <c r="CC423" s="28"/>
      <c r="CD423" s="28"/>
      <c r="CE423" s="28"/>
      <c r="CF423" s="28"/>
      <c r="CG423" s="28"/>
      <c r="CH423" s="28"/>
      <c r="CI423" s="28"/>
      <c r="CJ423" s="28"/>
      <c r="CK423" s="28"/>
      <c r="CL423" s="28"/>
      <c r="CM423" s="28"/>
      <c r="CN423" s="28"/>
      <c r="CO423" s="28"/>
      <c r="CP423" s="28"/>
      <c r="CQ423" s="28"/>
      <c r="CR423" s="28"/>
      <c r="CS423" s="28"/>
      <c r="CT423" s="28"/>
      <c r="CU423" s="28"/>
      <c r="CV423" s="28"/>
      <c r="CW423" s="28"/>
      <c r="CX423" s="28"/>
      <c r="CY423" s="28"/>
      <c r="CZ423" s="28"/>
      <c r="DA423" s="28"/>
      <c r="DB423" s="28"/>
      <c r="DC423" s="28"/>
      <c r="DD423" s="28"/>
      <c r="DE423" s="28"/>
      <c r="DF423" s="28"/>
      <c r="DG423" s="28"/>
      <c r="DH423" s="28"/>
      <c r="DI423" s="28"/>
      <c r="DJ423" s="28"/>
      <c r="DK423" s="29"/>
      <c r="DL423" s="29"/>
      <c r="DM423" s="29"/>
      <c r="DN423" s="29"/>
      <c r="DO423" s="29"/>
      <c r="DP423" s="29"/>
      <c r="DQ423" s="29"/>
      <c r="DR423" s="29"/>
      <c r="DS423" s="22"/>
      <c r="DT423" s="22"/>
      <c r="DU423" s="22"/>
      <c r="DV423" s="22"/>
    </row>
    <row r="424" spans="61:126" x14ac:dyDescent="0.25">
      <c r="BI424" s="22"/>
      <c r="BJ424" s="22"/>
      <c r="BK424" s="22"/>
      <c r="BL424" s="22"/>
      <c r="BM424" s="66"/>
      <c r="BN424" s="66"/>
      <c r="BO424" s="23"/>
      <c r="BP424" s="23"/>
      <c r="BQ424" s="23"/>
      <c r="BR424" s="24"/>
      <c r="BS424" s="24"/>
      <c r="BT424" s="68"/>
      <c r="BU424" s="68"/>
      <c r="BV424" s="25"/>
      <c r="BW424" s="26"/>
      <c r="BX424" s="27"/>
      <c r="BY424" s="28"/>
      <c r="BZ424" s="28"/>
      <c r="CA424" s="28"/>
      <c r="CB424" s="28"/>
      <c r="CC424" s="28"/>
      <c r="CD424" s="28"/>
      <c r="CE424" s="28"/>
      <c r="CF424" s="28"/>
      <c r="CG424" s="28"/>
      <c r="CH424" s="28"/>
      <c r="CI424" s="28"/>
      <c r="CJ424" s="28"/>
      <c r="CK424" s="28"/>
      <c r="CL424" s="28"/>
      <c r="CM424" s="28"/>
      <c r="CN424" s="28"/>
      <c r="CO424" s="28"/>
      <c r="CP424" s="28"/>
      <c r="CQ424" s="28"/>
      <c r="CR424" s="28"/>
      <c r="CS424" s="28"/>
      <c r="CT424" s="28"/>
      <c r="CU424" s="28"/>
      <c r="CV424" s="28"/>
      <c r="CW424" s="28"/>
      <c r="CX424" s="28"/>
      <c r="CY424" s="28"/>
      <c r="CZ424" s="28"/>
      <c r="DA424" s="28"/>
      <c r="DB424" s="28"/>
      <c r="DC424" s="28"/>
      <c r="DD424" s="28"/>
      <c r="DE424" s="28"/>
      <c r="DF424" s="28"/>
      <c r="DG424" s="28"/>
      <c r="DH424" s="28"/>
      <c r="DI424" s="28"/>
      <c r="DJ424" s="28"/>
      <c r="DK424" s="29"/>
      <c r="DL424" s="29"/>
      <c r="DM424" s="29"/>
      <c r="DN424" s="29"/>
      <c r="DO424" s="29"/>
      <c r="DP424" s="29"/>
      <c r="DQ424" s="29"/>
      <c r="DR424" s="29"/>
      <c r="DS424" s="22"/>
      <c r="DT424" s="22"/>
      <c r="DU424" s="22"/>
      <c r="DV424" s="22"/>
    </row>
    <row r="425" spans="61:126" x14ac:dyDescent="0.25">
      <c r="BI425" s="22"/>
      <c r="BJ425" s="22"/>
      <c r="BK425" s="22"/>
      <c r="BL425" s="22"/>
      <c r="BM425" s="66"/>
      <c r="BN425" s="66"/>
      <c r="BO425" s="23"/>
      <c r="BP425" s="23"/>
      <c r="BQ425" s="23"/>
      <c r="BR425" s="24"/>
      <c r="BS425" s="24"/>
      <c r="BT425" s="68"/>
      <c r="BU425" s="68"/>
      <c r="BV425" s="25"/>
      <c r="BW425" s="26"/>
      <c r="BX425" s="27"/>
      <c r="BY425" s="28"/>
      <c r="BZ425" s="28"/>
      <c r="CA425" s="28"/>
      <c r="CB425" s="28"/>
      <c r="CC425" s="28"/>
      <c r="CD425" s="28"/>
      <c r="CE425" s="28"/>
      <c r="CF425" s="28"/>
      <c r="CG425" s="28"/>
      <c r="CH425" s="28"/>
      <c r="CI425" s="28"/>
      <c r="CJ425" s="28"/>
      <c r="CK425" s="28"/>
      <c r="CL425" s="28"/>
      <c r="CM425" s="28"/>
      <c r="CN425" s="28"/>
      <c r="CO425" s="28"/>
      <c r="CP425" s="28"/>
      <c r="CQ425" s="28"/>
      <c r="CR425" s="28"/>
      <c r="CS425" s="28"/>
      <c r="CT425" s="28"/>
      <c r="CU425" s="28"/>
      <c r="CV425" s="28"/>
      <c r="CW425" s="28"/>
      <c r="CX425" s="28"/>
      <c r="CY425" s="28"/>
      <c r="CZ425" s="28"/>
      <c r="DA425" s="28"/>
      <c r="DB425" s="28"/>
      <c r="DC425" s="28"/>
      <c r="DD425" s="28"/>
      <c r="DE425" s="28"/>
      <c r="DF425" s="28"/>
      <c r="DG425" s="28"/>
      <c r="DH425" s="28"/>
      <c r="DI425" s="28"/>
      <c r="DJ425" s="28"/>
      <c r="DK425" s="29"/>
      <c r="DL425" s="29"/>
      <c r="DM425" s="29"/>
      <c r="DN425" s="29"/>
      <c r="DO425" s="29"/>
      <c r="DP425" s="29"/>
      <c r="DQ425" s="29"/>
      <c r="DR425" s="29"/>
      <c r="DS425" s="22"/>
      <c r="DT425" s="22"/>
      <c r="DU425" s="22"/>
      <c r="DV425" s="22"/>
    </row>
    <row r="426" spans="61:126" x14ac:dyDescent="0.25">
      <c r="BI426" s="22"/>
      <c r="BJ426" s="22"/>
      <c r="BK426" s="22"/>
      <c r="BL426" s="22"/>
      <c r="BM426" s="66"/>
      <c r="BN426" s="66"/>
      <c r="BO426" s="23"/>
      <c r="BP426" s="23"/>
      <c r="BQ426" s="23"/>
      <c r="BR426" s="24"/>
      <c r="BS426" s="24"/>
      <c r="BT426" s="68"/>
      <c r="BU426" s="68"/>
      <c r="BV426" s="25"/>
      <c r="BW426" s="26"/>
      <c r="BX426" s="27"/>
      <c r="BY426" s="28"/>
      <c r="BZ426" s="28"/>
      <c r="CA426" s="28"/>
      <c r="CB426" s="28"/>
      <c r="CC426" s="28"/>
      <c r="CD426" s="28"/>
      <c r="CE426" s="28"/>
      <c r="CF426" s="28"/>
      <c r="CG426" s="28"/>
      <c r="CH426" s="28"/>
      <c r="CI426" s="28"/>
      <c r="CJ426" s="28"/>
      <c r="CK426" s="28"/>
      <c r="CL426" s="28"/>
      <c r="CM426" s="28"/>
      <c r="CN426" s="28"/>
      <c r="CO426" s="28"/>
      <c r="CP426" s="28"/>
      <c r="CQ426" s="28"/>
      <c r="CR426" s="28"/>
      <c r="CS426" s="28"/>
      <c r="CT426" s="28"/>
      <c r="CU426" s="28"/>
      <c r="CV426" s="28"/>
      <c r="CW426" s="28"/>
      <c r="CX426" s="28"/>
      <c r="CY426" s="28"/>
      <c r="CZ426" s="28"/>
      <c r="DA426" s="28"/>
      <c r="DB426" s="28"/>
      <c r="DC426" s="28"/>
      <c r="DD426" s="28"/>
      <c r="DE426" s="28"/>
      <c r="DF426" s="28"/>
      <c r="DG426" s="28"/>
      <c r="DH426" s="28"/>
      <c r="DI426" s="28"/>
      <c r="DJ426" s="28"/>
      <c r="DK426" s="29"/>
      <c r="DL426" s="29"/>
      <c r="DM426" s="29"/>
      <c r="DN426" s="29"/>
      <c r="DO426" s="29"/>
      <c r="DP426" s="29"/>
      <c r="DQ426" s="29"/>
      <c r="DR426" s="29"/>
      <c r="DS426" s="22"/>
      <c r="DT426" s="22"/>
      <c r="DU426" s="22"/>
      <c r="DV426" s="22"/>
    </row>
    <row r="427" spans="61:126" x14ac:dyDescent="0.25">
      <c r="BI427" s="22"/>
      <c r="BJ427" s="22"/>
      <c r="BK427" s="22"/>
      <c r="BL427" s="22"/>
      <c r="BM427" s="66"/>
      <c r="BN427" s="66"/>
      <c r="BO427" s="23"/>
      <c r="BP427" s="23"/>
      <c r="BQ427" s="23"/>
      <c r="BR427" s="24"/>
      <c r="BS427" s="24"/>
      <c r="BT427" s="68"/>
      <c r="BU427" s="68"/>
      <c r="BV427" s="25"/>
      <c r="BW427" s="26"/>
      <c r="BX427" s="27"/>
      <c r="BY427" s="28"/>
      <c r="BZ427" s="28"/>
      <c r="CA427" s="28"/>
      <c r="CB427" s="28"/>
      <c r="CC427" s="28"/>
      <c r="CD427" s="28"/>
      <c r="CE427" s="28"/>
      <c r="CF427" s="28"/>
      <c r="CG427" s="28"/>
      <c r="CH427" s="28"/>
      <c r="CI427" s="28"/>
      <c r="CJ427" s="28"/>
      <c r="CK427" s="28"/>
      <c r="CL427" s="28"/>
      <c r="CM427" s="28"/>
      <c r="CN427" s="28"/>
      <c r="CO427" s="28"/>
      <c r="CP427" s="28"/>
      <c r="CQ427" s="28"/>
      <c r="CR427" s="28"/>
      <c r="CS427" s="28"/>
      <c r="CT427" s="28"/>
      <c r="CU427" s="28"/>
      <c r="CV427" s="28"/>
      <c r="CW427" s="28"/>
      <c r="CX427" s="28"/>
      <c r="CY427" s="28"/>
      <c r="CZ427" s="28"/>
      <c r="DA427" s="28"/>
      <c r="DB427" s="28"/>
      <c r="DC427" s="28"/>
      <c r="DD427" s="28"/>
      <c r="DE427" s="28"/>
      <c r="DF427" s="28"/>
      <c r="DG427" s="28"/>
      <c r="DH427" s="28"/>
      <c r="DI427" s="28"/>
      <c r="DJ427" s="28"/>
      <c r="DK427" s="29"/>
      <c r="DL427" s="29"/>
      <c r="DM427" s="29"/>
      <c r="DN427" s="29"/>
      <c r="DO427" s="29"/>
      <c r="DP427" s="29"/>
      <c r="DQ427" s="29"/>
      <c r="DR427" s="29"/>
      <c r="DS427" s="22"/>
      <c r="DT427" s="22"/>
      <c r="DU427" s="22"/>
      <c r="DV427" s="22"/>
    </row>
    <row r="428" spans="61:126" x14ac:dyDescent="0.25">
      <c r="BI428" s="22"/>
      <c r="BJ428" s="22"/>
      <c r="BK428" s="22"/>
      <c r="BL428" s="22"/>
      <c r="BM428" s="66"/>
      <c r="BN428" s="66"/>
      <c r="BO428" s="23"/>
      <c r="BP428" s="23"/>
      <c r="BQ428" s="23"/>
      <c r="BR428" s="24"/>
      <c r="BS428" s="24"/>
      <c r="BT428" s="68"/>
      <c r="BU428" s="68"/>
      <c r="BV428" s="25"/>
      <c r="BW428" s="26"/>
      <c r="BX428" s="27"/>
      <c r="BY428" s="28"/>
      <c r="BZ428" s="28"/>
      <c r="CA428" s="28"/>
      <c r="CB428" s="28"/>
      <c r="CC428" s="28"/>
      <c r="CD428" s="28"/>
      <c r="CE428" s="28"/>
      <c r="CF428" s="28"/>
      <c r="CG428" s="28"/>
      <c r="CH428" s="28"/>
      <c r="CI428" s="28"/>
      <c r="CJ428" s="28"/>
      <c r="CK428" s="28"/>
      <c r="CL428" s="28"/>
      <c r="CM428" s="28"/>
      <c r="CN428" s="28"/>
      <c r="CO428" s="28"/>
      <c r="CP428" s="28"/>
      <c r="CQ428" s="28"/>
      <c r="CR428" s="28"/>
      <c r="CS428" s="28"/>
      <c r="CT428" s="28"/>
      <c r="CU428" s="28"/>
      <c r="CV428" s="28"/>
      <c r="CW428" s="28"/>
      <c r="CX428" s="28"/>
      <c r="CY428" s="28"/>
      <c r="CZ428" s="28"/>
      <c r="DA428" s="28"/>
      <c r="DB428" s="28"/>
      <c r="DC428" s="28"/>
      <c r="DD428" s="28"/>
      <c r="DE428" s="28"/>
      <c r="DF428" s="28"/>
      <c r="DG428" s="28"/>
      <c r="DH428" s="28"/>
      <c r="DI428" s="28"/>
      <c r="DJ428" s="28"/>
      <c r="DK428" s="29"/>
      <c r="DL428" s="29"/>
      <c r="DM428" s="29"/>
      <c r="DN428" s="29"/>
      <c r="DO428" s="29"/>
      <c r="DP428" s="29"/>
      <c r="DQ428" s="29"/>
      <c r="DR428" s="29"/>
      <c r="DS428" s="22"/>
      <c r="DT428" s="22"/>
      <c r="DU428" s="22"/>
      <c r="DV428" s="22"/>
    </row>
    <row r="429" spans="61:126" x14ac:dyDescent="0.25">
      <c r="BI429" s="22"/>
      <c r="BJ429" s="22"/>
      <c r="BK429" s="22"/>
      <c r="BL429" s="22"/>
      <c r="BM429" s="66"/>
      <c r="BN429" s="66"/>
      <c r="BO429" s="23"/>
      <c r="BP429" s="23"/>
      <c r="BQ429" s="23"/>
      <c r="BR429" s="24"/>
      <c r="BS429" s="24"/>
      <c r="BT429" s="68"/>
      <c r="BU429" s="68"/>
      <c r="BV429" s="25"/>
      <c r="BW429" s="26"/>
      <c r="BX429" s="27"/>
      <c r="BY429" s="28"/>
      <c r="BZ429" s="28"/>
      <c r="CA429" s="28"/>
      <c r="CB429" s="28"/>
      <c r="CC429" s="28"/>
      <c r="CD429" s="28"/>
      <c r="CE429" s="28"/>
      <c r="CF429" s="28"/>
      <c r="CG429" s="28"/>
      <c r="CH429" s="28"/>
      <c r="CI429" s="28"/>
      <c r="CJ429" s="28"/>
      <c r="CK429" s="28"/>
      <c r="CL429" s="28"/>
      <c r="CM429" s="28"/>
      <c r="CN429" s="28"/>
      <c r="CO429" s="28"/>
      <c r="CP429" s="28"/>
      <c r="CQ429" s="28"/>
      <c r="CR429" s="28"/>
      <c r="CS429" s="28"/>
      <c r="CT429" s="28"/>
      <c r="CU429" s="28"/>
      <c r="CV429" s="28"/>
      <c r="CW429" s="28"/>
      <c r="CX429" s="28"/>
      <c r="CY429" s="28"/>
      <c r="CZ429" s="28"/>
      <c r="DA429" s="28"/>
      <c r="DB429" s="28"/>
      <c r="DC429" s="28"/>
      <c r="DD429" s="28"/>
      <c r="DE429" s="28"/>
      <c r="DF429" s="28"/>
      <c r="DG429" s="28"/>
      <c r="DH429" s="28"/>
      <c r="DI429" s="28"/>
      <c r="DJ429" s="28"/>
      <c r="DK429" s="29"/>
      <c r="DL429" s="29"/>
      <c r="DM429" s="29"/>
      <c r="DN429" s="29"/>
      <c r="DO429" s="29"/>
      <c r="DP429" s="29"/>
      <c r="DQ429" s="29"/>
      <c r="DR429" s="29"/>
      <c r="DS429" s="22"/>
      <c r="DT429" s="22"/>
      <c r="DU429" s="22"/>
      <c r="DV429" s="22"/>
    </row>
    <row r="430" spans="61:126" x14ac:dyDescent="0.25">
      <c r="BI430" s="22"/>
      <c r="BJ430" s="22"/>
      <c r="BK430" s="22"/>
      <c r="BL430" s="22"/>
      <c r="BM430" s="66"/>
      <c r="BN430" s="66"/>
      <c r="BO430" s="23"/>
      <c r="BP430" s="23"/>
      <c r="BQ430" s="23"/>
      <c r="BR430" s="24"/>
      <c r="BS430" s="24"/>
      <c r="BT430" s="68"/>
      <c r="BU430" s="68"/>
      <c r="BV430" s="25"/>
      <c r="BW430" s="26"/>
      <c r="BX430" s="27"/>
      <c r="BY430" s="28"/>
      <c r="BZ430" s="28"/>
      <c r="CA430" s="28"/>
      <c r="CB430" s="28"/>
      <c r="CC430" s="28"/>
      <c r="CD430" s="28"/>
      <c r="CE430" s="28"/>
      <c r="CF430" s="28"/>
      <c r="CG430" s="28"/>
      <c r="CH430" s="28"/>
      <c r="CI430" s="28"/>
      <c r="CJ430" s="28"/>
      <c r="CK430" s="28"/>
      <c r="CL430" s="28"/>
      <c r="CM430" s="28"/>
      <c r="CN430" s="28"/>
      <c r="CO430" s="28"/>
      <c r="CP430" s="28"/>
      <c r="CQ430" s="28"/>
      <c r="CR430" s="28"/>
      <c r="CS430" s="28"/>
      <c r="CT430" s="28"/>
      <c r="CU430" s="28"/>
      <c r="CV430" s="28"/>
      <c r="CW430" s="28"/>
      <c r="CX430" s="28"/>
      <c r="CY430" s="28"/>
      <c r="CZ430" s="28"/>
      <c r="DA430" s="28"/>
      <c r="DB430" s="28"/>
      <c r="DC430" s="28"/>
      <c r="DD430" s="28"/>
      <c r="DE430" s="28"/>
      <c r="DF430" s="28"/>
      <c r="DG430" s="28"/>
      <c r="DH430" s="28"/>
      <c r="DI430" s="28"/>
      <c r="DJ430" s="28"/>
      <c r="DK430" s="29"/>
      <c r="DL430" s="29"/>
      <c r="DM430" s="29"/>
      <c r="DN430" s="29"/>
      <c r="DO430" s="29"/>
      <c r="DP430" s="29"/>
      <c r="DQ430" s="29"/>
      <c r="DR430" s="29"/>
      <c r="DS430" s="22"/>
      <c r="DT430" s="22"/>
      <c r="DU430" s="22"/>
      <c r="DV430" s="22"/>
    </row>
    <row r="431" spans="61:126" x14ac:dyDescent="0.25">
      <c r="BI431" s="22"/>
      <c r="BJ431" s="22"/>
      <c r="BK431" s="22"/>
      <c r="BL431" s="22"/>
      <c r="BM431" s="66"/>
      <c r="BN431" s="66"/>
      <c r="BO431" s="23"/>
      <c r="BP431" s="23"/>
      <c r="BQ431" s="23"/>
      <c r="BR431" s="24"/>
      <c r="BS431" s="24"/>
      <c r="BT431" s="68"/>
      <c r="BU431" s="68"/>
      <c r="BV431" s="25"/>
      <c r="BW431" s="26"/>
      <c r="BX431" s="27"/>
      <c r="BY431" s="28"/>
      <c r="BZ431" s="28"/>
      <c r="CA431" s="28"/>
      <c r="CB431" s="28"/>
      <c r="CC431" s="28"/>
      <c r="CD431" s="28"/>
      <c r="CE431" s="28"/>
      <c r="CF431" s="28"/>
      <c r="CG431" s="28"/>
      <c r="CH431" s="28"/>
      <c r="CI431" s="28"/>
      <c r="CJ431" s="28"/>
      <c r="CK431" s="28"/>
      <c r="CL431" s="28"/>
      <c r="CM431" s="28"/>
      <c r="CN431" s="28"/>
      <c r="CO431" s="28"/>
      <c r="CP431" s="28"/>
      <c r="CQ431" s="28"/>
      <c r="CR431" s="28"/>
      <c r="CS431" s="28"/>
      <c r="CT431" s="28"/>
      <c r="CU431" s="28"/>
      <c r="CV431" s="28"/>
      <c r="CW431" s="28"/>
      <c r="CX431" s="28"/>
      <c r="CY431" s="28"/>
      <c r="CZ431" s="28"/>
      <c r="DA431" s="28"/>
      <c r="DB431" s="28"/>
      <c r="DC431" s="28"/>
      <c r="DD431" s="28"/>
      <c r="DE431" s="28"/>
      <c r="DF431" s="28"/>
      <c r="DG431" s="28"/>
      <c r="DH431" s="28"/>
      <c r="DI431" s="28"/>
      <c r="DJ431" s="28"/>
      <c r="DK431" s="29"/>
      <c r="DL431" s="29"/>
      <c r="DM431" s="29"/>
      <c r="DN431" s="29"/>
      <c r="DO431" s="29"/>
      <c r="DP431" s="29"/>
      <c r="DQ431" s="29"/>
      <c r="DR431" s="29"/>
      <c r="DS431" s="22"/>
      <c r="DT431" s="22"/>
      <c r="DU431" s="22"/>
      <c r="DV431" s="22"/>
    </row>
    <row r="432" spans="61:126" x14ac:dyDescent="0.25">
      <c r="BI432" s="22"/>
      <c r="BJ432" s="22"/>
      <c r="BK432" s="22"/>
      <c r="BL432" s="22"/>
      <c r="BM432" s="66"/>
      <c r="BN432" s="66"/>
      <c r="BO432" s="23"/>
      <c r="BP432" s="23"/>
      <c r="BQ432" s="23"/>
      <c r="BR432" s="24"/>
      <c r="BS432" s="24"/>
      <c r="BT432" s="68"/>
      <c r="BU432" s="68"/>
      <c r="BV432" s="25"/>
      <c r="BW432" s="26"/>
      <c r="BX432" s="27"/>
      <c r="BY432" s="28"/>
      <c r="BZ432" s="28"/>
      <c r="CA432" s="28"/>
      <c r="CB432" s="28"/>
      <c r="CC432" s="28"/>
      <c r="CD432" s="28"/>
      <c r="CE432" s="28"/>
      <c r="CF432" s="28"/>
      <c r="CG432" s="28"/>
      <c r="CH432" s="28"/>
      <c r="CI432" s="28"/>
      <c r="CJ432" s="28"/>
      <c r="CK432" s="28"/>
      <c r="CL432" s="28"/>
      <c r="CM432" s="28"/>
      <c r="CN432" s="28"/>
      <c r="CO432" s="28"/>
      <c r="CP432" s="28"/>
      <c r="CQ432" s="28"/>
      <c r="CR432" s="28"/>
      <c r="CS432" s="28"/>
      <c r="CT432" s="28"/>
      <c r="CU432" s="28"/>
      <c r="CV432" s="28"/>
      <c r="CW432" s="28"/>
      <c r="CX432" s="28"/>
      <c r="CY432" s="28"/>
      <c r="CZ432" s="28"/>
      <c r="DA432" s="28"/>
      <c r="DB432" s="28"/>
      <c r="DC432" s="28"/>
      <c r="DD432" s="28"/>
      <c r="DE432" s="28"/>
      <c r="DF432" s="28"/>
      <c r="DG432" s="28"/>
      <c r="DH432" s="28"/>
      <c r="DI432" s="28"/>
      <c r="DJ432" s="28"/>
      <c r="DK432" s="29"/>
      <c r="DL432" s="29"/>
      <c r="DM432" s="29"/>
      <c r="DN432" s="29"/>
      <c r="DO432" s="29"/>
      <c r="DP432" s="29"/>
      <c r="DQ432" s="29"/>
      <c r="DR432" s="29"/>
      <c r="DS432" s="22"/>
      <c r="DT432" s="22"/>
      <c r="DU432" s="22"/>
      <c r="DV432" s="22"/>
    </row>
    <row r="433" spans="61:126" x14ac:dyDescent="0.25">
      <c r="BI433" s="22"/>
      <c r="BJ433" s="22"/>
      <c r="BK433" s="22"/>
      <c r="BL433" s="22"/>
      <c r="BM433" s="66"/>
      <c r="BN433" s="66"/>
      <c r="BO433" s="23"/>
      <c r="BP433" s="23"/>
      <c r="BQ433" s="23"/>
      <c r="BR433" s="24"/>
      <c r="BS433" s="24"/>
      <c r="BT433" s="68"/>
      <c r="BU433" s="68"/>
      <c r="BV433" s="25"/>
      <c r="BW433" s="26"/>
      <c r="BX433" s="27"/>
      <c r="BY433" s="28"/>
      <c r="BZ433" s="28"/>
      <c r="CA433" s="28"/>
      <c r="CB433" s="28"/>
      <c r="CC433" s="28"/>
      <c r="CD433" s="28"/>
      <c r="CE433" s="28"/>
      <c r="CF433" s="28"/>
      <c r="CG433" s="28"/>
      <c r="CH433" s="28"/>
      <c r="CI433" s="28"/>
      <c r="CJ433" s="28"/>
      <c r="CK433" s="28"/>
      <c r="CL433" s="28"/>
      <c r="CM433" s="28"/>
      <c r="CN433" s="28"/>
      <c r="CO433" s="28"/>
      <c r="CP433" s="28"/>
      <c r="CQ433" s="28"/>
      <c r="CR433" s="28"/>
      <c r="CS433" s="28"/>
      <c r="CT433" s="28"/>
      <c r="CU433" s="28"/>
      <c r="CV433" s="28"/>
      <c r="CW433" s="28"/>
      <c r="CX433" s="28"/>
      <c r="CY433" s="28"/>
      <c r="CZ433" s="28"/>
      <c r="DA433" s="28"/>
      <c r="DB433" s="28"/>
      <c r="DC433" s="28"/>
      <c r="DD433" s="28"/>
      <c r="DE433" s="28"/>
      <c r="DF433" s="28"/>
      <c r="DG433" s="28"/>
      <c r="DH433" s="28"/>
      <c r="DI433" s="28"/>
      <c r="DJ433" s="28"/>
      <c r="DK433" s="29"/>
      <c r="DL433" s="29"/>
      <c r="DM433" s="29"/>
      <c r="DN433" s="29"/>
      <c r="DO433" s="29"/>
      <c r="DP433" s="29"/>
      <c r="DQ433" s="29"/>
      <c r="DR433" s="29"/>
      <c r="DS433" s="22"/>
      <c r="DT433" s="22"/>
      <c r="DU433" s="22"/>
      <c r="DV433" s="22"/>
    </row>
    <row r="434" spans="61:126" x14ac:dyDescent="0.25">
      <c r="BI434" s="22"/>
      <c r="BJ434" s="22"/>
      <c r="BK434" s="22"/>
      <c r="BL434" s="22"/>
      <c r="BM434" s="66"/>
      <c r="BN434" s="66"/>
      <c r="BO434" s="23"/>
      <c r="BP434" s="23"/>
      <c r="BQ434" s="23"/>
      <c r="BR434" s="24"/>
      <c r="BS434" s="24"/>
      <c r="BT434" s="68"/>
      <c r="BU434" s="68"/>
      <c r="BV434" s="25"/>
      <c r="BW434" s="26"/>
      <c r="BX434" s="27"/>
      <c r="BY434" s="28"/>
      <c r="BZ434" s="28"/>
      <c r="CA434" s="28"/>
      <c r="CB434" s="28"/>
      <c r="CC434" s="28"/>
      <c r="CD434" s="28"/>
      <c r="CE434" s="28"/>
      <c r="CF434" s="28"/>
      <c r="CG434" s="28"/>
      <c r="CH434" s="28"/>
      <c r="CI434" s="28"/>
      <c r="CJ434" s="28"/>
      <c r="CK434" s="28"/>
      <c r="CL434" s="28"/>
      <c r="CM434" s="28"/>
      <c r="CN434" s="28"/>
      <c r="CO434" s="28"/>
      <c r="CP434" s="28"/>
      <c r="CQ434" s="28"/>
      <c r="CR434" s="28"/>
      <c r="CS434" s="28"/>
      <c r="CT434" s="28"/>
      <c r="CU434" s="28"/>
      <c r="CV434" s="28"/>
      <c r="CW434" s="28"/>
      <c r="CX434" s="28"/>
      <c r="CY434" s="28"/>
      <c r="CZ434" s="28"/>
      <c r="DA434" s="28"/>
      <c r="DB434" s="28"/>
      <c r="DC434" s="28"/>
      <c r="DD434" s="28"/>
      <c r="DE434" s="28"/>
      <c r="DF434" s="28"/>
      <c r="DG434" s="28"/>
      <c r="DH434" s="28"/>
      <c r="DI434" s="28"/>
      <c r="DJ434" s="28"/>
      <c r="DK434" s="29"/>
      <c r="DL434" s="29"/>
      <c r="DM434" s="29"/>
      <c r="DN434" s="29"/>
      <c r="DO434" s="29"/>
      <c r="DP434" s="29"/>
      <c r="DQ434" s="29"/>
      <c r="DR434" s="29"/>
      <c r="DS434" s="22"/>
      <c r="DT434" s="22"/>
      <c r="DU434" s="22"/>
      <c r="DV434" s="22"/>
    </row>
    <row r="435" spans="61:126" x14ac:dyDescent="0.25">
      <c r="BI435" s="22"/>
      <c r="BJ435" s="22"/>
      <c r="BK435" s="22"/>
      <c r="BL435" s="22"/>
      <c r="BM435" s="66"/>
      <c r="BN435" s="66"/>
      <c r="BO435" s="23"/>
      <c r="BP435" s="23"/>
      <c r="BQ435" s="23"/>
      <c r="BR435" s="24"/>
      <c r="BS435" s="24"/>
      <c r="BT435" s="68"/>
      <c r="BU435" s="68"/>
      <c r="BV435" s="25"/>
      <c r="BW435" s="26"/>
      <c r="BX435" s="27"/>
      <c r="BY435" s="28"/>
      <c r="BZ435" s="28"/>
      <c r="CA435" s="28"/>
      <c r="CB435" s="28"/>
      <c r="CC435" s="28"/>
      <c r="CD435" s="28"/>
      <c r="CE435" s="28"/>
      <c r="CF435" s="28"/>
      <c r="CG435" s="28"/>
      <c r="CH435" s="28"/>
      <c r="CI435" s="28"/>
      <c r="CJ435" s="28"/>
      <c r="CK435" s="28"/>
      <c r="CL435" s="28"/>
      <c r="CM435" s="28"/>
      <c r="CN435" s="28"/>
      <c r="CO435" s="28"/>
      <c r="CP435" s="28"/>
      <c r="CQ435" s="28"/>
      <c r="CR435" s="28"/>
      <c r="CS435" s="28"/>
      <c r="CT435" s="28"/>
      <c r="CU435" s="28"/>
      <c r="CV435" s="28"/>
      <c r="CW435" s="28"/>
      <c r="CX435" s="28"/>
      <c r="CY435" s="28"/>
      <c r="CZ435" s="28"/>
      <c r="DA435" s="28"/>
      <c r="DB435" s="28"/>
      <c r="DC435" s="28"/>
      <c r="DD435" s="28"/>
      <c r="DE435" s="28"/>
      <c r="DF435" s="28"/>
      <c r="DG435" s="28"/>
      <c r="DH435" s="28"/>
      <c r="DI435" s="28"/>
      <c r="DJ435" s="28"/>
      <c r="DK435" s="29"/>
      <c r="DL435" s="29"/>
      <c r="DM435" s="29"/>
      <c r="DN435" s="29"/>
      <c r="DO435" s="29"/>
      <c r="DP435" s="29"/>
      <c r="DQ435" s="29"/>
      <c r="DR435" s="29"/>
      <c r="DS435" s="22"/>
      <c r="DT435" s="22"/>
      <c r="DU435" s="22"/>
      <c r="DV435" s="22"/>
    </row>
    <row r="436" spans="61:126" x14ac:dyDescent="0.25">
      <c r="BI436" s="22"/>
      <c r="BJ436" s="22"/>
      <c r="BK436" s="22"/>
      <c r="BL436" s="22"/>
      <c r="BM436" s="66"/>
      <c r="BN436" s="66"/>
      <c r="BO436" s="23"/>
      <c r="BP436" s="23"/>
      <c r="BQ436" s="23"/>
      <c r="BR436" s="24"/>
      <c r="BS436" s="24"/>
      <c r="BT436" s="68"/>
      <c r="BU436" s="68"/>
      <c r="BV436" s="25"/>
      <c r="BW436" s="26"/>
      <c r="BX436" s="27"/>
      <c r="BY436" s="28"/>
      <c r="BZ436" s="28"/>
      <c r="CA436" s="28"/>
      <c r="CB436" s="28"/>
      <c r="CC436" s="28"/>
      <c r="CD436" s="28"/>
      <c r="CE436" s="28"/>
      <c r="CF436" s="28"/>
      <c r="CG436" s="28"/>
      <c r="CH436" s="28"/>
      <c r="CI436" s="28"/>
      <c r="CJ436" s="28"/>
      <c r="CK436" s="28"/>
      <c r="CL436" s="28"/>
      <c r="CM436" s="28"/>
      <c r="CN436" s="28"/>
      <c r="CO436" s="28"/>
      <c r="CP436" s="28"/>
      <c r="CQ436" s="28"/>
      <c r="CR436" s="28"/>
      <c r="CS436" s="28"/>
      <c r="CT436" s="28"/>
      <c r="CU436" s="28"/>
      <c r="CV436" s="28"/>
      <c r="CW436" s="28"/>
      <c r="CX436" s="28"/>
      <c r="CY436" s="28"/>
      <c r="CZ436" s="28"/>
      <c r="DA436" s="28"/>
      <c r="DB436" s="28"/>
      <c r="DC436" s="28"/>
      <c r="DD436" s="28"/>
      <c r="DE436" s="28"/>
      <c r="DF436" s="28"/>
      <c r="DG436" s="28"/>
      <c r="DH436" s="28"/>
      <c r="DI436" s="28"/>
      <c r="DJ436" s="28"/>
      <c r="DK436" s="29"/>
      <c r="DL436" s="29"/>
      <c r="DM436" s="29"/>
      <c r="DN436" s="29"/>
      <c r="DO436" s="29"/>
      <c r="DP436" s="29"/>
      <c r="DQ436" s="29"/>
      <c r="DR436" s="29"/>
      <c r="DS436" s="22"/>
      <c r="DT436" s="22"/>
      <c r="DU436" s="22"/>
      <c r="DV436" s="22"/>
    </row>
    <row r="437" spans="61:126" x14ac:dyDescent="0.25">
      <c r="BI437" s="22"/>
      <c r="BJ437" s="22"/>
      <c r="BK437" s="22"/>
      <c r="BL437" s="22"/>
      <c r="BM437" s="66"/>
      <c r="BN437" s="66"/>
      <c r="BO437" s="23"/>
      <c r="BP437" s="23"/>
      <c r="BQ437" s="23"/>
      <c r="BR437" s="24"/>
      <c r="BS437" s="24"/>
      <c r="BT437" s="68"/>
      <c r="BU437" s="68"/>
      <c r="BV437" s="25"/>
      <c r="BW437" s="26"/>
      <c r="BX437" s="27"/>
      <c r="BY437" s="28"/>
      <c r="BZ437" s="28"/>
      <c r="CA437" s="28"/>
      <c r="CB437" s="28"/>
      <c r="CC437" s="28"/>
      <c r="CD437" s="28"/>
      <c r="CE437" s="28"/>
      <c r="CF437" s="28"/>
      <c r="CG437" s="28"/>
      <c r="CH437" s="28"/>
      <c r="CI437" s="28"/>
      <c r="CJ437" s="28"/>
      <c r="CK437" s="28"/>
      <c r="CL437" s="28"/>
      <c r="CM437" s="28"/>
      <c r="CN437" s="28"/>
      <c r="CO437" s="28"/>
      <c r="CP437" s="28"/>
      <c r="CQ437" s="28"/>
      <c r="CR437" s="28"/>
      <c r="CS437" s="28"/>
      <c r="CT437" s="28"/>
      <c r="CU437" s="28"/>
      <c r="CV437" s="28"/>
      <c r="CW437" s="28"/>
      <c r="CX437" s="28"/>
      <c r="CY437" s="28"/>
      <c r="CZ437" s="28"/>
      <c r="DA437" s="28"/>
      <c r="DB437" s="28"/>
      <c r="DC437" s="28"/>
      <c r="DD437" s="28"/>
      <c r="DE437" s="28"/>
      <c r="DF437" s="28"/>
      <c r="DG437" s="28"/>
      <c r="DH437" s="28"/>
      <c r="DI437" s="28"/>
      <c r="DJ437" s="28"/>
      <c r="DK437" s="29"/>
      <c r="DL437" s="29"/>
      <c r="DM437" s="29"/>
      <c r="DN437" s="29"/>
      <c r="DO437" s="29"/>
      <c r="DP437" s="29"/>
      <c r="DQ437" s="29"/>
      <c r="DR437" s="29"/>
      <c r="DS437" s="22"/>
      <c r="DT437" s="22"/>
      <c r="DU437" s="22"/>
      <c r="DV437" s="22"/>
    </row>
    <row r="438" spans="61:126" x14ac:dyDescent="0.25">
      <c r="BI438" s="22"/>
      <c r="BJ438" s="22"/>
      <c r="BK438" s="22"/>
      <c r="BL438" s="22"/>
      <c r="BM438" s="66"/>
      <c r="BN438" s="66"/>
      <c r="BO438" s="23"/>
      <c r="BP438" s="23"/>
      <c r="BQ438" s="23"/>
      <c r="BR438" s="24"/>
      <c r="BS438" s="24"/>
      <c r="BT438" s="68"/>
      <c r="BU438" s="68"/>
      <c r="BV438" s="25"/>
      <c r="BW438" s="26"/>
      <c r="BX438" s="27"/>
      <c r="BY438" s="28"/>
      <c r="BZ438" s="28"/>
      <c r="CA438" s="28"/>
      <c r="CB438" s="28"/>
      <c r="CC438" s="28"/>
      <c r="CD438" s="28"/>
      <c r="CE438" s="28"/>
      <c r="CF438" s="28"/>
      <c r="CG438" s="28"/>
      <c r="CH438" s="28"/>
      <c r="CI438" s="28"/>
      <c r="CJ438" s="28"/>
      <c r="CK438" s="28"/>
      <c r="CL438" s="28"/>
      <c r="CM438" s="28"/>
      <c r="CN438" s="28"/>
      <c r="CO438" s="28"/>
      <c r="CP438" s="28"/>
      <c r="CQ438" s="28"/>
      <c r="CR438" s="28"/>
      <c r="CS438" s="28"/>
      <c r="CT438" s="28"/>
      <c r="CU438" s="28"/>
      <c r="CV438" s="28"/>
      <c r="CW438" s="28"/>
      <c r="CX438" s="28"/>
      <c r="CY438" s="28"/>
      <c r="CZ438" s="28"/>
      <c r="DA438" s="28"/>
      <c r="DB438" s="28"/>
      <c r="DC438" s="28"/>
      <c r="DD438" s="28"/>
      <c r="DE438" s="28"/>
      <c r="DF438" s="28"/>
      <c r="DG438" s="28"/>
      <c r="DH438" s="28"/>
      <c r="DI438" s="28"/>
      <c r="DJ438" s="28"/>
      <c r="DK438" s="29"/>
      <c r="DL438" s="29"/>
      <c r="DM438" s="29"/>
      <c r="DN438" s="29"/>
      <c r="DO438" s="29"/>
      <c r="DP438" s="29"/>
      <c r="DQ438" s="29"/>
      <c r="DR438" s="29"/>
      <c r="DS438" s="22"/>
      <c r="DT438" s="22"/>
      <c r="DU438" s="22"/>
      <c r="DV438" s="22"/>
    </row>
    <row r="439" spans="61:126" x14ac:dyDescent="0.25">
      <c r="BI439" s="22"/>
      <c r="BJ439" s="22"/>
      <c r="BK439" s="22"/>
      <c r="BL439" s="22"/>
      <c r="BM439" s="66"/>
      <c r="BN439" s="66"/>
      <c r="BO439" s="23"/>
      <c r="BP439" s="23"/>
      <c r="BQ439" s="23"/>
      <c r="BR439" s="24"/>
      <c r="BS439" s="24"/>
      <c r="BT439" s="68"/>
      <c r="BU439" s="68"/>
      <c r="BV439" s="25"/>
      <c r="BW439" s="26"/>
      <c r="BX439" s="27"/>
      <c r="BY439" s="28"/>
      <c r="BZ439" s="28"/>
      <c r="CA439" s="28"/>
      <c r="CB439" s="28"/>
      <c r="CC439" s="28"/>
      <c r="CD439" s="28"/>
      <c r="CE439" s="28"/>
      <c r="CF439" s="28"/>
      <c r="CG439" s="28"/>
      <c r="CH439" s="28"/>
      <c r="CI439" s="28"/>
      <c r="CJ439" s="28"/>
      <c r="CK439" s="28"/>
      <c r="CL439" s="28"/>
      <c r="CM439" s="28"/>
      <c r="CN439" s="28"/>
      <c r="CO439" s="28"/>
      <c r="CP439" s="28"/>
      <c r="CQ439" s="28"/>
      <c r="CR439" s="28"/>
      <c r="CS439" s="28"/>
      <c r="CT439" s="28"/>
      <c r="CU439" s="28"/>
      <c r="CV439" s="28"/>
      <c r="CW439" s="28"/>
      <c r="CX439" s="28"/>
      <c r="CY439" s="28"/>
      <c r="CZ439" s="28"/>
      <c r="DA439" s="28"/>
      <c r="DB439" s="28"/>
      <c r="DC439" s="28"/>
      <c r="DD439" s="28"/>
      <c r="DE439" s="28"/>
      <c r="DF439" s="28"/>
      <c r="DG439" s="28"/>
      <c r="DH439" s="28"/>
      <c r="DI439" s="28"/>
      <c r="DJ439" s="28"/>
      <c r="DK439" s="29"/>
      <c r="DL439" s="29"/>
      <c r="DM439" s="29"/>
      <c r="DN439" s="29"/>
      <c r="DO439" s="29"/>
      <c r="DP439" s="29"/>
      <c r="DQ439" s="29"/>
      <c r="DR439" s="29"/>
      <c r="DS439" s="22"/>
      <c r="DT439" s="22"/>
      <c r="DU439" s="22"/>
      <c r="DV439" s="22"/>
    </row>
    <row r="440" spans="61:126" x14ac:dyDescent="0.25">
      <c r="BI440" s="22"/>
      <c r="BJ440" s="22"/>
      <c r="BK440" s="22"/>
      <c r="BL440" s="22"/>
      <c r="BM440" s="66"/>
      <c r="BN440" s="66"/>
      <c r="BO440" s="23"/>
      <c r="BP440" s="23"/>
      <c r="BQ440" s="23"/>
      <c r="BR440" s="24"/>
      <c r="BS440" s="24"/>
      <c r="BT440" s="68"/>
      <c r="BU440" s="68"/>
      <c r="BV440" s="25"/>
      <c r="BW440" s="26"/>
      <c r="BX440" s="27"/>
      <c r="BY440" s="28"/>
      <c r="BZ440" s="28"/>
      <c r="CA440" s="28"/>
      <c r="CB440" s="28"/>
      <c r="CC440" s="28"/>
      <c r="CD440" s="28"/>
      <c r="CE440" s="28"/>
      <c r="CF440" s="28"/>
      <c r="CG440" s="28"/>
      <c r="CH440" s="28"/>
      <c r="CI440" s="28"/>
      <c r="CJ440" s="28"/>
      <c r="CK440" s="28"/>
      <c r="CL440" s="28"/>
      <c r="CM440" s="28"/>
      <c r="CN440" s="28"/>
      <c r="CO440" s="28"/>
      <c r="CP440" s="28"/>
      <c r="CQ440" s="28"/>
      <c r="CR440" s="28"/>
      <c r="CS440" s="28"/>
      <c r="CT440" s="28"/>
      <c r="CU440" s="28"/>
      <c r="CV440" s="28"/>
      <c r="CW440" s="28"/>
      <c r="CX440" s="28"/>
      <c r="CY440" s="28"/>
      <c r="CZ440" s="28"/>
      <c r="DA440" s="28"/>
      <c r="DB440" s="28"/>
      <c r="DC440" s="28"/>
      <c r="DD440" s="28"/>
      <c r="DE440" s="28"/>
      <c r="DF440" s="28"/>
      <c r="DG440" s="28"/>
      <c r="DH440" s="28"/>
      <c r="DI440" s="28"/>
      <c r="DJ440" s="28"/>
      <c r="DK440" s="29"/>
      <c r="DL440" s="29"/>
      <c r="DM440" s="29"/>
      <c r="DN440" s="29"/>
      <c r="DO440" s="29"/>
      <c r="DP440" s="29"/>
      <c r="DQ440" s="29"/>
      <c r="DR440" s="29"/>
      <c r="DS440" s="22"/>
      <c r="DT440" s="22"/>
      <c r="DU440" s="22"/>
      <c r="DV440" s="22"/>
    </row>
    <row r="441" spans="61:126" x14ac:dyDescent="0.25">
      <c r="BI441" s="22"/>
      <c r="BJ441" s="22"/>
      <c r="BK441" s="22"/>
      <c r="BL441" s="22"/>
      <c r="BM441" s="66"/>
      <c r="BN441" s="66"/>
      <c r="BO441" s="23"/>
      <c r="BP441" s="23"/>
      <c r="BQ441" s="23"/>
      <c r="BR441" s="24"/>
      <c r="BS441" s="24"/>
      <c r="BT441" s="68"/>
      <c r="BU441" s="68"/>
      <c r="BV441" s="25"/>
      <c r="BW441" s="26"/>
      <c r="BX441" s="27"/>
      <c r="BY441" s="28"/>
      <c r="BZ441" s="28"/>
      <c r="CA441" s="28"/>
      <c r="CB441" s="28"/>
      <c r="CC441" s="28"/>
      <c r="CD441" s="28"/>
      <c r="CE441" s="28"/>
      <c r="CF441" s="28"/>
      <c r="CG441" s="28"/>
      <c r="CH441" s="28"/>
      <c r="CI441" s="28"/>
      <c r="CJ441" s="28"/>
      <c r="CK441" s="28"/>
      <c r="CL441" s="28"/>
      <c r="CM441" s="28"/>
      <c r="CN441" s="28"/>
      <c r="CO441" s="28"/>
      <c r="CP441" s="28"/>
      <c r="CQ441" s="28"/>
      <c r="CR441" s="28"/>
      <c r="CS441" s="28"/>
      <c r="CT441" s="28"/>
      <c r="CU441" s="28"/>
      <c r="CV441" s="28"/>
      <c r="CW441" s="28"/>
      <c r="CX441" s="28"/>
      <c r="CY441" s="28"/>
      <c r="CZ441" s="28"/>
      <c r="DA441" s="28"/>
      <c r="DB441" s="28"/>
      <c r="DC441" s="28"/>
      <c r="DD441" s="28"/>
      <c r="DE441" s="28"/>
      <c r="DF441" s="28"/>
      <c r="DG441" s="28"/>
      <c r="DH441" s="28"/>
      <c r="DI441" s="28"/>
      <c r="DJ441" s="28"/>
      <c r="DK441" s="29"/>
      <c r="DL441" s="29"/>
      <c r="DM441" s="29"/>
      <c r="DN441" s="29"/>
      <c r="DO441" s="29"/>
      <c r="DP441" s="29"/>
      <c r="DQ441" s="29"/>
      <c r="DR441" s="29"/>
      <c r="DS441" s="22"/>
      <c r="DT441" s="22"/>
      <c r="DU441" s="22"/>
      <c r="DV441" s="22"/>
    </row>
    <row r="442" spans="61:126" x14ac:dyDescent="0.25">
      <c r="BW442" s="26"/>
      <c r="CU442" s="28"/>
      <c r="CY442" s="28"/>
      <c r="DA442" s="28"/>
      <c r="DC442" s="28"/>
    </row>
    <row r="443" spans="61:126" x14ac:dyDescent="0.25">
      <c r="BW443" s="26"/>
      <c r="CU443" s="28"/>
      <c r="CY443" s="28"/>
      <c r="DA443" s="28"/>
      <c r="DC443" s="28"/>
    </row>
    <row r="444" spans="61:126" x14ac:dyDescent="0.25">
      <c r="BI444" s="22"/>
      <c r="BJ444" s="22"/>
      <c r="BK444" s="22"/>
      <c r="BL444" s="22"/>
      <c r="BM444" s="66"/>
      <c r="BN444" s="66"/>
      <c r="BO444" s="23"/>
      <c r="BP444" s="23"/>
      <c r="BQ444" s="23"/>
      <c r="BR444" s="24"/>
      <c r="BS444" s="24"/>
      <c r="BT444" s="68"/>
      <c r="BU444" s="68"/>
      <c r="BV444" s="25"/>
      <c r="BW444" s="26"/>
      <c r="BX444" s="27"/>
      <c r="BY444" s="28"/>
      <c r="BZ444" s="28"/>
      <c r="CA444" s="28"/>
      <c r="CB444" s="28"/>
      <c r="CC444" s="28"/>
      <c r="CD444" s="28"/>
      <c r="CE444" s="28"/>
      <c r="CF444" s="28"/>
      <c r="CG444" s="28"/>
      <c r="CH444" s="28"/>
      <c r="CI444" s="28"/>
      <c r="CJ444" s="28"/>
      <c r="CK444" s="28"/>
      <c r="CL444" s="28"/>
      <c r="CM444" s="28"/>
      <c r="CN444" s="28"/>
      <c r="CO444" s="28"/>
      <c r="CP444" s="28"/>
      <c r="CQ444" s="28"/>
      <c r="CR444" s="28"/>
      <c r="CS444" s="28"/>
      <c r="CT444" s="28"/>
      <c r="CU444" s="28"/>
      <c r="CV444" s="28"/>
      <c r="CW444" s="28"/>
      <c r="CX444" s="28"/>
      <c r="CY444" s="28"/>
      <c r="CZ444" s="28"/>
      <c r="DA444" s="28"/>
      <c r="DB444" s="28"/>
      <c r="DC444" s="28"/>
      <c r="DD444" s="28"/>
      <c r="DE444" s="28"/>
      <c r="DF444" s="28"/>
      <c r="DG444" s="28"/>
      <c r="DH444" s="28"/>
      <c r="DI444" s="28"/>
      <c r="DJ444" s="28"/>
      <c r="DK444" s="29"/>
      <c r="DL444" s="29"/>
      <c r="DM444" s="29"/>
      <c r="DN444" s="29"/>
      <c r="DO444" s="29"/>
      <c r="DP444" s="29"/>
      <c r="DQ444" s="29"/>
      <c r="DR444" s="29"/>
      <c r="DS444" s="22"/>
      <c r="DT444" s="22"/>
      <c r="DU444" s="22"/>
      <c r="DV444" s="22"/>
    </row>
    <row r="445" spans="61:126" x14ac:dyDescent="0.25">
      <c r="BI445" s="22"/>
      <c r="BJ445" s="22"/>
      <c r="BK445" s="22"/>
      <c r="BL445" s="22"/>
      <c r="BM445" s="66"/>
      <c r="BN445" s="66"/>
      <c r="BO445" s="23"/>
      <c r="BP445" s="23"/>
      <c r="BQ445" s="23"/>
      <c r="BR445" s="24"/>
      <c r="BS445" s="24"/>
      <c r="BT445" s="68"/>
      <c r="BU445" s="68"/>
      <c r="BV445" s="25"/>
      <c r="BW445" s="26"/>
      <c r="BX445" s="27"/>
      <c r="BY445" s="28"/>
      <c r="BZ445" s="28"/>
      <c r="CA445" s="28"/>
      <c r="CB445" s="28"/>
      <c r="CC445" s="28"/>
      <c r="CD445" s="28"/>
      <c r="CE445" s="28"/>
      <c r="CF445" s="28"/>
      <c r="CG445" s="28"/>
      <c r="CH445" s="28"/>
      <c r="CI445" s="28"/>
      <c r="CJ445" s="28"/>
      <c r="CK445" s="28"/>
      <c r="CL445" s="28"/>
      <c r="CM445" s="28"/>
      <c r="CN445" s="28"/>
      <c r="CO445" s="28"/>
      <c r="CP445" s="28"/>
      <c r="CQ445" s="28"/>
      <c r="CR445" s="28"/>
      <c r="CS445" s="28"/>
      <c r="CT445" s="28"/>
      <c r="CU445" s="28"/>
      <c r="CV445" s="28"/>
      <c r="CW445" s="28"/>
      <c r="CX445" s="28"/>
      <c r="CY445" s="28"/>
      <c r="CZ445" s="28"/>
      <c r="DA445" s="28"/>
      <c r="DB445" s="28"/>
      <c r="DC445" s="28"/>
      <c r="DD445" s="28"/>
      <c r="DE445" s="28"/>
      <c r="DF445" s="28"/>
      <c r="DG445" s="28"/>
      <c r="DH445" s="28"/>
      <c r="DI445" s="28"/>
      <c r="DJ445" s="28"/>
      <c r="DK445" s="29"/>
      <c r="DL445" s="29"/>
      <c r="DM445" s="29"/>
      <c r="DN445" s="29"/>
      <c r="DO445" s="29"/>
      <c r="DP445" s="29"/>
      <c r="DQ445" s="29"/>
      <c r="DR445" s="29"/>
      <c r="DS445" s="22"/>
      <c r="DT445" s="22"/>
      <c r="DU445" s="22"/>
      <c r="DV445" s="22"/>
    </row>
    <row r="446" spans="61:126" x14ac:dyDescent="0.25">
      <c r="BI446" s="22"/>
      <c r="BJ446" s="22"/>
      <c r="BK446" s="22"/>
      <c r="BL446" s="22"/>
      <c r="BM446" s="66"/>
      <c r="BN446" s="66"/>
      <c r="BO446" s="23"/>
      <c r="BP446" s="23"/>
      <c r="BQ446" s="23"/>
      <c r="BR446" s="24"/>
      <c r="BS446" s="24"/>
      <c r="BT446" s="68"/>
      <c r="BU446" s="68"/>
      <c r="BV446" s="25"/>
      <c r="BW446" s="26"/>
      <c r="BX446" s="27"/>
      <c r="BY446" s="28"/>
      <c r="BZ446" s="28"/>
      <c r="CA446" s="28"/>
      <c r="CB446" s="28"/>
      <c r="CC446" s="28"/>
      <c r="CD446" s="28"/>
      <c r="CE446" s="28"/>
      <c r="CF446" s="28"/>
      <c r="CG446" s="28"/>
      <c r="CH446" s="28"/>
      <c r="CI446" s="28"/>
      <c r="CJ446" s="28"/>
      <c r="CK446" s="28"/>
      <c r="CL446" s="28"/>
      <c r="CM446" s="28"/>
      <c r="CN446" s="28"/>
      <c r="CO446" s="28"/>
      <c r="CP446" s="28"/>
      <c r="CQ446" s="28"/>
      <c r="CR446" s="28"/>
      <c r="CS446" s="28"/>
      <c r="CT446" s="28"/>
      <c r="CU446" s="28"/>
      <c r="CV446" s="28"/>
      <c r="CW446" s="28"/>
      <c r="CX446" s="28"/>
      <c r="CY446" s="28"/>
      <c r="CZ446" s="28"/>
      <c r="DA446" s="28"/>
      <c r="DB446" s="28"/>
      <c r="DC446" s="28"/>
      <c r="DD446" s="28"/>
      <c r="DE446" s="28"/>
      <c r="DF446" s="28"/>
      <c r="DG446" s="28"/>
      <c r="DH446" s="28"/>
      <c r="DI446" s="28"/>
      <c r="DJ446" s="28"/>
      <c r="DK446" s="29"/>
      <c r="DL446" s="29"/>
      <c r="DM446" s="29"/>
      <c r="DN446" s="29"/>
      <c r="DO446" s="29"/>
      <c r="DP446" s="29"/>
      <c r="DQ446" s="29"/>
      <c r="DR446" s="29"/>
      <c r="DS446" s="22"/>
      <c r="DT446" s="22"/>
      <c r="DU446" s="22"/>
      <c r="DV446" s="22"/>
    </row>
    <row r="447" spans="61:126" x14ac:dyDescent="0.25">
      <c r="BI447" s="22"/>
      <c r="BJ447" s="22"/>
      <c r="BK447" s="22"/>
      <c r="BL447" s="22"/>
      <c r="BM447" s="66"/>
      <c r="BN447" s="66"/>
      <c r="BO447" s="23"/>
      <c r="BP447" s="23"/>
      <c r="BQ447" s="23"/>
      <c r="BR447" s="24"/>
      <c r="BS447" s="24"/>
      <c r="BT447" s="68"/>
      <c r="BU447" s="68"/>
      <c r="BV447" s="25"/>
      <c r="BW447" s="26"/>
      <c r="BX447" s="27"/>
      <c r="BY447" s="28"/>
      <c r="BZ447" s="28"/>
      <c r="CA447" s="28"/>
      <c r="CB447" s="28"/>
      <c r="CC447" s="28"/>
      <c r="CD447" s="28"/>
      <c r="CE447" s="28"/>
      <c r="CF447" s="28"/>
      <c r="CG447" s="28"/>
      <c r="CH447" s="28"/>
      <c r="CI447" s="28"/>
      <c r="CJ447" s="28"/>
      <c r="CK447" s="28"/>
      <c r="CL447" s="28"/>
      <c r="CM447" s="28"/>
      <c r="CN447" s="28"/>
      <c r="CO447" s="28"/>
      <c r="CP447" s="28"/>
      <c r="CQ447" s="28"/>
      <c r="CR447" s="28"/>
      <c r="CS447" s="28"/>
      <c r="CT447" s="28"/>
      <c r="CU447" s="28"/>
      <c r="CV447" s="28"/>
      <c r="CW447" s="28"/>
      <c r="CX447" s="28"/>
      <c r="CY447" s="28"/>
      <c r="CZ447" s="28"/>
      <c r="DA447" s="28"/>
      <c r="DB447" s="28"/>
      <c r="DC447" s="28"/>
      <c r="DD447" s="28"/>
      <c r="DE447" s="28"/>
      <c r="DF447" s="28"/>
      <c r="DG447" s="28"/>
      <c r="DH447" s="28"/>
      <c r="DI447" s="28"/>
      <c r="DJ447" s="28"/>
      <c r="DK447" s="29"/>
      <c r="DL447" s="29"/>
      <c r="DM447" s="29"/>
      <c r="DN447" s="29"/>
      <c r="DO447" s="29"/>
      <c r="DP447" s="29"/>
      <c r="DQ447" s="29"/>
      <c r="DR447" s="29"/>
      <c r="DS447" s="22"/>
      <c r="DT447" s="22"/>
      <c r="DU447" s="22"/>
      <c r="DV447" s="22"/>
    </row>
    <row r="448" spans="61:126" x14ac:dyDescent="0.25">
      <c r="BI448" s="22"/>
      <c r="BJ448" s="22"/>
      <c r="BK448" s="22"/>
      <c r="BL448" s="22"/>
      <c r="BM448" s="66"/>
      <c r="BN448" s="66"/>
      <c r="BO448" s="23"/>
      <c r="BP448" s="23"/>
      <c r="BQ448" s="23"/>
      <c r="BR448" s="24"/>
      <c r="BS448" s="24"/>
      <c r="BT448" s="68"/>
      <c r="BU448" s="68"/>
      <c r="BV448" s="25"/>
      <c r="BW448" s="26"/>
      <c r="BX448" s="27"/>
      <c r="BY448" s="28"/>
      <c r="BZ448" s="28"/>
      <c r="CA448" s="28"/>
      <c r="CB448" s="28"/>
      <c r="CC448" s="28"/>
      <c r="CD448" s="28"/>
      <c r="CE448" s="28"/>
      <c r="CF448" s="28"/>
      <c r="CG448" s="28"/>
      <c r="CH448" s="28"/>
      <c r="CI448" s="28"/>
      <c r="CJ448" s="28"/>
      <c r="CK448" s="28"/>
      <c r="CL448" s="28"/>
      <c r="CM448" s="28"/>
      <c r="CN448" s="28"/>
      <c r="CO448" s="28"/>
      <c r="CP448" s="28"/>
      <c r="CQ448" s="28"/>
      <c r="CR448" s="28"/>
      <c r="CS448" s="28"/>
      <c r="CT448" s="28"/>
      <c r="CU448" s="28"/>
      <c r="CV448" s="28"/>
      <c r="CW448" s="28"/>
      <c r="CX448" s="28"/>
      <c r="CY448" s="28"/>
      <c r="CZ448" s="28"/>
      <c r="DA448" s="28"/>
      <c r="DB448" s="28"/>
      <c r="DC448" s="28"/>
      <c r="DD448" s="28"/>
      <c r="DE448" s="28"/>
      <c r="DF448" s="28"/>
      <c r="DG448" s="28"/>
      <c r="DH448" s="28"/>
      <c r="DI448" s="28"/>
      <c r="DJ448" s="28"/>
      <c r="DK448" s="29"/>
      <c r="DL448" s="29"/>
      <c r="DM448" s="29"/>
      <c r="DN448" s="29"/>
      <c r="DO448" s="29"/>
      <c r="DP448" s="29"/>
      <c r="DQ448" s="29"/>
      <c r="DR448" s="29"/>
      <c r="DS448" s="22"/>
      <c r="DT448" s="22"/>
      <c r="DU448" s="22"/>
      <c r="DV448" s="22"/>
    </row>
    <row r="449" spans="61:126" x14ac:dyDescent="0.25">
      <c r="BI449" s="22"/>
      <c r="BJ449" s="22"/>
      <c r="BK449" s="22"/>
      <c r="BL449" s="22"/>
      <c r="BM449" s="66"/>
      <c r="BN449" s="66"/>
      <c r="BO449" s="23"/>
      <c r="BP449" s="23"/>
      <c r="BQ449" s="23"/>
      <c r="BR449" s="24"/>
      <c r="BS449" s="24"/>
      <c r="BT449" s="68"/>
      <c r="BU449" s="68"/>
      <c r="BV449" s="25"/>
      <c r="BW449" s="26"/>
      <c r="BX449" s="27"/>
      <c r="BY449" s="28"/>
      <c r="BZ449" s="28"/>
      <c r="CA449" s="28"/>
      <c r="CB449" s="28"/>
      <c r="CC449" s="28"/>
      <c r="CD449" s="28"/>
      <c r="CE449" s="28"/>
      <c r="CF449" s="28"/>
      <c r="CG449" s="28"/>
      <c r="CH449" s="28"/>
      <c r="CI449" s="28"/>
      <c r="CJ449" s="28"/>
      <c r="CK449" s="28"/>
      <c r="CL449" s="28"/>
      <c r="CM449" s="28"/>
      <c r="CN449" s="28"/>
      <c r="CO449" s="28"/>
      <c r="CP449" s="28"/>
      <c r="CQ449" s="28"/>
      <c r="CR449" s="28"/>
      <c r="CS449" s="28"/>
      <c r="CT449" s="28"/>
      <c r="CU449" s="28"/>
      <c r="CV449" s="28"/>
      <c r="CW449" s="28"/>
      <c r="CX449" s="28"/>
      <c r="CY449" s="28"/>
      <c r="CZ449" s="28"/>
      <c r="DA449" s="28"/>
      <c r="DB449" s="28"/>
      <c r="DC449" s="28"/>
      <c r="DD449" s="28"/>
      <c r="DE449" s="28"/>
      <c r="DF449" s="28"/>
      <c r="DG449" s="28"/>
      <c r="DH449" s="28"/>
      <c r="DI449" s="28"/>
      <c r="DJ449" s="28"/>
      <c r="DK449" s="29"/>
      <c r="DL449" s="29"/>
      <c r="DM449" s="29"/>
      <c r="DN449" s="29"/>
      <c r="DO449" s="29"/>
      <c r="DP449" s="29"/>
      <c r="DQ449" s="29"/>
      <c r="DR449" s="29"/>
      <c r="DS449" s="22"/>
      <c r="DT449" s="22"/>
      <c r="DU449" s="22"/>
      <c r="DV449" s="22"/>
    </row>
    <row r="450" spans="61:126" x14ac:dyDescent="0.25">
      <c r="BI450" s="22"/>
      <c r="BJ450" s="22"/>
      <c r="BK450" s="22"/>
      <c r="BL450" s="22"/>
      <c r="BM450" s="66"/>
      <c r="BN450" s="66"/>
      <c r="BO450" s="23"/>
      <c r="BP450" s="23"/>
      <c r="BQ450" s="23"/>
      <c r="BR450" s="24"/>
      <c r="BS450" s="24"/>
      <c r="BT450" s="68"/>
      <c r="BU450" s="68"/>
      <c r="BV450" s="25"/>
      <c r="BW450" s="26"/>
      <c r="BX450" s="27"/>
      <c r="BY450" s="28"/>
      <c r="BZ450" s="28"/>
      <c r="CA450" s="28"/>
      <c r="CB450" s="28"/>
      <c r="CC450" s="28"/>
      <c r="CD450" s="28"/>
      <c r="CE450" s="28"/>
      <c r="CF450" s="28"/>
      <c r="CG450" s="28"/>
      <c r="CH450" s="28"/>
      <c r="CI450" s="28"/>
      <c r="CJ450" s="28"/>
      <c r="CK450" s="28"/>
      <c r="CL450" s="28"/>
      <c r="CM450" s="28"/>
      <c r="CN450" s="28"/>
      <c r="CO450" s="28"/>
      <c r="CP450" s="28"/>
      <c r="CQ450" s="28"/>
      <c r="CR450" s="28"/>
      <c r="CS450" s="28"/>
      <c r="CT450" s="28"/>
      <c r="CU450" s="28"/>
      <c r="CV450" s="28"/>
      <c r="CW450" s="28"/>
      <c r="CX450" s="28"/>
      <c r="CY450" s="28"/>
      <c r="CZ450" s="28"/>
      <c r="DA450" s="28"/>
      <c r="DB450" s="28"/>
      <c r="DC450" s="28"/>
      <c r="DD450" s="28"/>
      <c r="DE450" s="28"/>
      <c r="DF450" s="28"/>
      <c r="DG450" s="28"/>
      <c r="DH450" s="28"/>
      <c r="DI450" s="28"/>
      <c r="DJ450" s="28"/>
      <c r="DK450" s="29"/>
      <c r="DL450" s="29"/>
      <c r="DM450" s="29"/>
      <c r="DN450" s="29"/>
      <c r="DO450" s="29"/>
      <c r="DP450" s="29"/>
      <c r="DQ450" s="29"/>
      <c r="DR450" s="29"/>
      <c r="DS450" s="22"/>
      <c r="DT450" s="22"/>
      <c r="DU450" s="22"/>
      <c r="DV450" s="22"/>
    </row>
    <row r="451" spans="61:126" x14ac:dyDescent="0.25">
      <c r="BI451" s="22"/>
      <c r="BJ451" s="22"/>
      <c r="BK451" s="22"/>
      <c r="BL451" s="22"/>
      <c r="BM451" s="66"/>
      <c r="BN451" s="66"/>
      <c r="BO451" s="23"/>
      <c r="BP451" s="23"/>
      <c r="BQ451" s="23"/>
      <c r="BR451" s="24"/>
      <c r="BS451" s="24"/>
      <c r="BT451" s="68"/>
      <c r="BU451" s="68"/>
      <c r="BV451" s="25"/>
      <c r="BW451" s="26"/>
      <c r="BX451" s="27"/>
      <c r="BY451" s="28"/>
      <c r="BZ451" s="28"/>
      <c r="CA451" s="28"/>
      <c r="CB451" s="28"/>
      <c r="CC451" s="28"/>
      <c r="CD451" s="28"/>
      <c r="CE451" s="28"/>
      <c r="CF451" s="28"/>
      <c r="CG451" s="28"/>
      <c r="CH451" s="28"/>
      <c r="CI451" s="28"/>
      <c r="CJ451" s="28"/>
      <c r="CK451" s="28"/>
      <c r="CL451" s="28"/>
      <c r="CM451" s="28"/>
      <c r="CN451" s="28"/>
      <c r="CO451" s="28"/>
      <c r="CP451" s="28"/>
      <c r="CQ451" s="28"/>
      <c r="CR451" s="28"/>
      <c r="CS451" s="28"/>
      <c r="CT451" s="28"/>
      <c r="CU451" s="28"/>
      <c r="CV451" s="28"/>
      <c r="CW451" s="28"/>
      <c r="CX451" s="28"/>
      <c r="CY451" s="28"/>
      <c r="CZ451" s="28"/>
      <c r="DA451" s="28"/>
      <c r="DB451" s="28"/>
      <c r="DC451" s="28"/>
      <c r="DD451" s="28"/>
      <c r="DE451" s="28"/>
      <c r="DF451" s="28"/>
      <c r="DG451" s="28"/>
      <c r="DH451" s="28"/>
      <c r="DI451" s="28"/>
      <c r="DJ451" s="28"/>
      <c r="DK451" s="29"/>
      <c r="DL451" s="29"/>
      <c r="DM451" s="29"/>
      <c r="DN451" s="29"/>
      <c r="DO451" s="29"/>
      <c r="DP451" s="29"/>
      <c r="DQ451" s="29"/>
      <c r="DR451" s="29"/>
      <c r="DS451" s="22"/>
      <c r="DT451" s="22"/>
      <c r="DU451" s="22"/>
      <c r="DV451" s="22"/>
    </row>
    <row r="452" spans="61:126" x14ac:dyDescent="0.25">
      <c r="BI452" s="22"/>
      <c r="BJ452" s="22"/>
      <c r="BK452" s="22"/>
      <c r="BL452" s="22"/>
      <c r="BM452" s="66"/>
      <c r="BN452" s="66"/>
      <c r="BO452" s="23"/>
      <c r="BP452" s="23"/>
      <c r="BQ452" s="23"/>
      <c r="BR452" s="24"/>
      <c r="BS452" s="24"/>
      <c r="BT452" s="68"/>
      <c r="BU452" s="68"/>
      <c r="BV452" s="25"/>
      <c r="BW452" s="26"/>
      <c r="BX452" s="27"/>
      <c r="BY452" s="28"/>
      <c r="BZ452" s="28"/>
      <c r="CA452" s="28"/>
      <c r="CB452" s="28"/>
      <c r="CC452" s="28"/>
      <c r="CD452" s="28"/>
      <c r="CE452" s="28"/>
      <c r="CF452" s="28"/>
      <c r="CG452" s="28"/>
      <c r="CH452" s="28"/>
      <c r="CI452" s="28"/>
      <c r="CJ452" s="28"/>
      <c r="CK452" s="28"/>
      <c r="CL452" s="28"/>
      <c r="CM452" s="28"/>
      <c r="CN452" s="28"/>
      <c r="CO452" s="28"/>
      <c r="CP452" s="28"/>
      <c r="CQ452" s="28"/>
      <c r="CR452" s="28"/>
      <c r="CS452" s="28"/>
      <c r="CT452" s="28"/>
      <c r="CU452" s="28"/>
      <c r="CV452" s="28"/>
      <c r="CW452" s="28"/>
      <c r="CX452" s="28"/>
      <c r="CY452" s="28"/>
      <c r="CZ452" s="28"/>
      <c r="DA452" s="28"/>
      <c r="DB452" s="28"/>
      <c r="DC452" s="28"/>
      <c r="DD452" s="28"/>
      <c r="DE452" s="28"/>
      <c r="DF452" s="28"/>
      <c r="DG452" s="28"/>
      <c r="DH452" s="28"/>
      <c r="DI452" s="28"/>
      <c r="DJ452" s="28"/>
      <c r="DK452" s="29"/>
      <c r="DL452" s="29"/>
      <c r="DM452" s="29"/>
      <c r="DN452" s="29"/>
      <c r="DO452" s="29"/>
      <c r="DP452" s="29"/>
      <c r="DQ452" s="29"/>
      <c r="DR452" s="29"/>
      <c r="DS452" s="22"/>
      <c r="DT452" s="22"/>
      <c r="DU452" s="22"/>
      <c r="DV452" s="22"/>
    </row>
    <row r="453" spans="61:126" x14ac:dyDescent="0.25">
      <c r="BI453" s="22"/>
      <c r="BJ453" s="22"/>
      <c r="BK453" s="22"/>
      <c r="BL453" s="22"/>
      <c r="BM453" s="66"/>
      <c r="BN453" s="66"/>
      <c r="BO453" s="23"/>
      <c r="BP453" s="23"/>
      <c r="BQ453" s="23"/>
      <c r="BR453" s="24"/>
      <c r="BS453" s="24"/>
      <c r="BT453" s="68"/>
      <c r="BU453" s="68"/>
      <c r="BV453" s="25"/>
      <c r="BW453" s="26"/>
      <c r="BX453" s="27"/>
      <c r="BY453" s="28"/>
      <c r="BZ453" s="28"/>
      <c r="CA453" s="28"/>
      <c r="CB453" s="28"/>
      <c r="CC453" s="28"/>
      <c r="CD453" s="28"/>
      <c r="CE453" s="28"/>
      <c r="CF453" s="28"/>
      <c r="CG453" s="28"/>
      <c r="CH453" s="28"/>
      <c r="CI453" s="28"/>
      <c r="CJ453" s="28"/>
      <c r="CK453" s="28"/>
      <c r="CL453" s="28"/>
      <c r="CM453" s="28"/>
      <c r="CN453" s="28"/>
      <c r="CO453" s="28"/>
      <c r="CP453" s="28"/>
      <c r="CQ453" s="28"/>
      <c r="CR453" s="28"/>
      <c r="CS453" s="28"/>
      <c r="CT453" s="28"/>
      <c r="CU453" s="28"/>
      <c r="CV453" s="28"/>
      <c r="CW453" s="28"/>
      <c r="CX453" s="28"/>
      <c r="CY453" s="28"/>
      <c r="CZ453" s="28"/>
      <c r="DA453" s="28"/>
      <c r="DB453" s="28"/>
      <c r="DC453" s="28"/>
      <c r="DD453" s="28"/>
      <c r="DE453" s="28"/>
      <c r="DF453" s="28"/>
      <c r="DG453" s="28"/>
      <c r="DH453" s="28"/>
      <c r="DI453" s="28"/>
      <c r="DJ453" s="28"/>
      <c r="DK453" s="29"/>
      <c r="DL453" s="29"/>
      <c r="DM453" s="29"/>
      <c r="DN453" s="29"/>
      <c r="DO453" s="29"/>
      <c r="DP453" s="29"/>
      <c r="DQ453" s="29"/>
      <c r="DR453" s="29"/>
      <c r="DS453" s="22"/>
      <c r="DT453" s="22"/>
      <c r="DU453" s="22"/>
      <c r="DV453" s="22"/>
    </row>
    <row r="454" spans="61:126" x14ac:dyDescent="0.25">
      <c r="BI454" s="22"/>
      <c r="BJ454" s="22"/>
      <c r="BK454" s="22"/>
      <c r="BL454" s="22"/>
      <c r="BM454" s="66"/>
      <c r="BN454" s="66"/>
      <c r="BO454" s="23"/>
      <c r="BP454" s="23"/>
      <c r="BQ454" s="23"/>
      <c r="BR454" s="24"/>
      <c r="BS454" s="24"/>
      <c r="BT454" s="68"/>
      <c r="BU454" s="68"/>
      <c r="BV454" s="25"/>
      <c r="BW454" s="26"/>
      <c r="BX454" s="27"/>
      <c r="BY454" s="28"/>
      <c r="BZ454" s="28"/>
      <c r="CA454" s="28"/>
      <c r="CB454" s="28"/>
      <c r="CC454" s="28"/>
      <c r="CD454" s="28"/>
      <c r="CE454" s="28"/>
      <c r="CF454" s="28"/>
      <c r="CG454" s="28"/>
      <c r="CH454" s="28"/>
      <c r="CI454" s="28"/>
      <c r="CJ454" s="28"/>
      <c r="CK454" s="28"/>
      <c r="CL454" s="28"/>
      <c r="CM454" s="28"/>
      <c r="CN454" s="28"/>
      <c r="CO454" s="28"/>
      <c r="CP454" s="28"/>
      <c r="CQ454" s="28"/>
      <c r="CR454" s="28"/>
      <c r="CS454" s="28"/>
      <c r="CT454" s="28"/>
      <c r="CU454" s="28"/>
      <c r="CV454" s="28"/>
      <c r="CW454" s="28"/>
      <c r="CX454" s="28"/>
      <c r="CY454" s="28"/>
      <c r="CZ454" s="28"/>
      <c r="DA454" s="28"/>
      <c r="DB454" s="28"/>
      <c r="DC454" s="28"/>
      <c r="DD454" s="28"/>
      <c r="DE454" s="28"/>
      <c r="DF454" s="28"/>
      <c r="DG454" s="28"/>
      <c r="DH454" s="28"/>
      <c r="DI454" s="28"/>
      <c r="DJ454" s="28"/>
      <c r="DK454" s="29"/>
      <c r="DL454" s="29"/>
      <c r="DM454" s="29"/>
      <c r="DN454" s="29"/>
      <c r="DO454" s="29"/>
      <c r="DP454" s="29"/>
      <c r="DQ454" s="29"/>
      <c r="DR454" s="29"/>
      <c r="DS454" s="22"/>
      <c r="DT454" s="22"/>
      <c r="DU454" s="22"/>
      <c r="DV454" s="22"/>
    </row>
    <row r="455" spans="61:126" x14ac:dyDescent="0.25">
      <c r="BI455" s="22"/>
      <c r="BJ455" s="22"/>
      <c r="BK455" s="22"/>
      <c r="BL455" s="22"/>
      <c r="BM455" s="66"/>
      <c r="BN455" s="66"/>
      <c r="BO455" s="23"/>
      <c r="BP455" s="23"/>
      <c r="BQ455" s="23"/>
      <c r="BR455" s="24"/>
      <c r="BS455" s="24"/>
      <c r="BT455" s="68"/>
      <c r="BU455" s="68"/>
      <c r="BV455" s="25"/>
      <c r="BW455" s="26"/>
      <c r="BX455" s="27"/>
      <c r="BY455" s="28"/>
      <c r="BZ455" s="28"/>
      <c r="CA455" s="28"/>
      <c r="CB455" s="28"/>
      <c r="CC455" s="28"/>
      <c r="CD455" s="28"/>
      <c r="CE455" s="28"/>
      <c r="CF455" s="28"/>
      <c r="CG455" s="28"/>
      <c r="CH455" s="28"/>
      <c r="CI455" s="28"/>
      <c r="CJ455" s="28"/>
      <c r="CK455" s="28"/>
      <c r="CL455" s="28"/>
      <c r="CM455" s="28"/>
      <c r="CN455" s="28"/>
      <c r="CO455" s="28"/>
      <c r="CP455" s="28"/>
      <c r="CQ455" s="28"/>
      <c r="CR455" s="28"/>
      <c r="CS455" s="28"/>
      <c r="CT455" s="28"/>
      <c r="CU455" s="28"/>
      <c r="CV455" s="28"/>
      <c r="CW455" s="28"/>
      <c r="CX455" s="28"/>
      <c r="CY455" s="28"/>
      <c r="CZ455" s="28"/>
      <c r="DA455" s="28"/>
      <c r="DB455" s="28"/>
      <c r="DC455" s="28"/>
      <c r="DD455" s="28"/>
      <c r="DE455" s="28"/>
      <c r="DF455" s="28"/>
      <c r="DG455" s="28"/>
      <c r="DH455" s="28"/>
      <c r="DI455" s="28"/>
      <c r="DJ455" s="28"/>
      <c r="DK455" s="29"/>
      <c r="DL455" s="29"/>
      <c r="DM455" s="29"/>
      <c r="DN455" s="29"/>
      <c r="DO455" s="29"/>
      <c r="DP455" s="29"/>
      <c r="DQ455" s="29"/>
      <c r="DR455" s="29"/>
      <c r="DS455" s="22"/>
      <c r="DT455" s="22"/>
      <c r="DU455" s="22"/>
      <c r="DV455" s="22"/>
    </row>
    <row r="456" spans="61:126" x14ac:dyDescent="0.25">
      <c r="BI456" s="22"/>
      <c r="BJ456" s="22"/>
      <c r="BK456" s="22"/>
      <c r="BL456" s="22"/>
      <c r="BM456" s="66"/>
      <c r="BN456" s="66"/>
      <c r="BO456" s="23"/>
      <c r="BP456" s="23"/>
      <c r="BQ456" s="23"/>
      <c r="BR456" s="24"/>
      <c r="BS456" s="24"/>
      <c r="BT456" s="68"/>
      <c r="BU456" s="68"/>
      <c r="BV456" s="25"/>
      <c r="BW456" s="26"/>
      <c r="BX456" s="27"/>
      <c r="BY456" s="28"/>
      <c r="BZ456" s="28"/>
      <c r="CA456" s="28"/>
      <c r="CB456" s="28"/>
      <c r="CC456" s="28"/>
      <c r="CD456" s="28"/>
      <c r="CE456" s="28"/>
      <c r="CF456" s="28"/>
      <c r="CG456" s="28"/>
      <c r="CH456" s="28"/>
      <c r="CI456" s="28"/>
      <c r="CJ456" s="28"/>
      <c r="CK456" s="28"/>
      <c r="CL456" s="28"/>
      <c r="CM456" s="28"/>
      <c r="CN456" s="28"/>
      <c r="CO456" s="28"/>
      <c r="CP456" s="28"/>
      <c r="CQ456" s="28"/>
      <c r="CR456" s="28"/>
      <c r="CS456" s="28"/>
      <c r="CT456" s="28"/>
      <c r="CU456" s="28"/>
      <c r="CV456" s="28"/>
      <c r="CW456" s="28"/>
      <c r="CX456" s="28"/>
      <c r="CY456" s="28"/>
      <c r="CZ456" s="28"/>
      <c r="DA456" s="28"/>
      <c r="DB456" s="28"/>
      <c r="DC456" s="28"/>
      <c r="DD456" s="28"/>
      <c r="DE456" s="28"/>
      <c r="DF456" s="28"/>
      <c r="DG456" s="28"/>
      <c r="DH456" s="28"/>
      <c r="DI456" s="28"/>
      <c r="DJ456" s="28"/>
      <c r="DK456" s="29"/>
      <c r="DL456" s="29"/>
      <c r="DM456" s="29"/>
      <c r="DN456" s="29"/>
      <c r="DO456" s="29"/>
      <c r="DP456" s="29"/>
      <c r="DQ456" s="29"/>
      <c r="DR456" s="29"/>
      <c r="DS456" s="22"/>
      <c r="DT456" s="22"/>
      <c r="DU456" s="22"/>
      <c r="DV456" s="22"/>
    </row>
    <row r="457" spans="61:126" x14ac:dyDescent="0.25">
      <c r="BI457" s="22"/>
      <c r="BJ457" s="22"/>
      <c r="BK457" s="22"/>
      <c r="BL457" s="22"/>
      <c r="BM457" s="66"/>
      <c r="BN457" s="66"/>
      <c r="BO457" s="23"/>
      <c r="BP457" s="23"/>
      <c r="BQ457" s="23"/>
      <c r="BR457" s="24"/>
      <c r="BS457" s="24"/>
      <c r="BT457" s="68"/>
      <c r="BU457" s="68"/>
      <c r="BV457" s="25"/>
      <c r="BW457" s="26"/>
      <c r="BX457" s="27"/>
      <c r="BY457" s="28"/>
      <c r="BZ457" s="28"/>
      <c r="CA457" s="28"/>
      <c r="CB457" s="28"/>
      <c r="CC457" s="28"/>
      <c r="CD457" s="28"/>
      <c r="CE457" s="28"/>
      <c r="CF457" s="28"/>
      <c r="CG457" s="28"/>
      <c r="CH457" s="28"/>
      <c r="CI457" s="28"/>
      <c r="CJ457" s="28"/>
      <c r="CK457" s="28"/>
      <c r="CL457" s="28"/>
      <c r="CM457" s="28"/>
      <c r="CN457" s="28"/>
      <c r="CO457" s="28"/>
      <c r="CP457" s="28"/>
      <c r="CQ457" s="28"/>
      <c r="CR457" s="28"/>
      <c r="CS457" s="28"/>
      <c r="CT457" s="28"/>
      <c r="CU457" s="28"/>
      <c r="CV457" s="28"/>
      <c r="CW457" s="28"/>
      <c r="CX457" s="28"/>
      <c r="CY457" s="28"/>
      <c r="CZ457" s="28"/>
      <c r="DA457" s="28"/>
      <c r="DB457" s="28"/>
      <c r="DC457" s="28"/>
      <c r="DD457" s="28"/>
      <c r="DE457" s="28"/>
      <c r="DF457" s="28"/>
      <c r="DG457" s="28"/>
      <c r="DH457" s="28"/>
      <c r="DI457" s="28"/>
      <c r="DJ457" s="28"/>
      <c r="DK457" s="29"/>
      <c r="DL457" s="29"/>
      <c r="DM457" s="29"/>
      <c r="DN457" s="29"/>
      <c r="DO457" s="29"/>
      <c r="DP457" s="29"/>
      <c r="DQ457" s="29"/>
      <c r="DR457" s="29"/>
      <c r="DS457" s="22"/>
      <c r="DT457" s="22"/>
      <c r="DU457" s="22"/>
      <c r="DV457" s="22"/>
    </row>
    <row r="458" spans="61:126" x14ac:dyDescent="0.25">
      <c r="BI458" s="22"/>
      <c r="BJ458" s="22"/>
      <c r="BK458" s="22"/>
      <c r="BL458" s="22"/>
      <c r="BM458" s="66"/>
      <c r="BN458" s="66"/>
      <c r="BO458" s="23"/>
      <c r="BP458" s="23"/>
      <c r="BQ458" s="23"/>
      <c r="BR458" s="24"/>
      <c r="BS458" s="24"/>
      <c r="BT458" s="68"/>
      <c r="BU458" s="68"/>
      <c r="BV458" s="25"/>
      <c r="BW458" s="26"/>
      <c r="BX458" s="27"/>
      <c r="BY458" s="28"/>
      <c r="BZ458" s="28"/>
      <c r="CA458" s="28"/>
      <c r="CB458" s="28"/>
      <c r="CC458" s="28"/>
      <c r="CD458" s="28"/>
      <c r="CE458" s="28"/>
      <c r="CF458" s="28"/>
      <c r="CG458" s="28"/>
      <c r="CH458" s="28"/>
      <c r="CI458" s="28"/>
      <c r="CJ458" s="28"/>
      <c r="CK458" s="28"/>
      <c r="CL458" s="28"/>
      <c r="CM458" s="28"/>
      <c r="CN458" s="28"/>
      <c r="CO458" s="28"/>
      <c r="CP458" s="28"/>
      <c r="CQ458" s="28"/>
      <c r="CR458" s="28"/>
      <c r="CS458" s="28"/>
      <c r="CT458" s="28"/>
      <c r="CU458" s="28"/>
      <c r="CV458" s="28"/>
      <c r="CW458" s="28"/>
      <c r="CX458" s="28"/>
      <c r="CY458" s="28"/>
      <c r="CZ458" s="28"/>
      <c r="DA458" s="28"/>
      <c r="DB458" s="28"/>
      <c r="DC458" s="28"/>
      <c r="DD458" s="28"/>
      <c r="DE458" s="28"/>
      <c r="DF458" s="28"/>
      <c r="DG458" s="28"/>
      <c r="DH458" s="28"/>
      <c r="DI458" s="28"/>
      <c r="DJ458" s="28"/>
      <c r="DK458" s="29"/>
      <c r="DL458" s="29"/>
      <c r="DM458" s="29"/>
      <c r="DN458" s="29"/>
      <c r="DO458" s="29"/>
      <c r="DP458" s="29"/>
      <c r="DQ458" s="29"/>
      <c r="DR458" s="29"/>
      <c r="DS458" s="22"/>
      <c r="DT458" s="22"/>
      <c r="DU458" s="22"/>
      <c r="DV458" s="22"/>
    </row>
    <row r="459" spans="61:126" x14ac:dyDescent="0.25">
      <c r="BI459" s="22"/>
      <c r="BJ459" s="22"/>
      <c r="BK459" s="22"/>
      <c r="BL459" s="22"/>
      <c r="BM459" s="66"/>
      <c r="BN459" s="66"/>
      <c r="BO459" s="23"/>
      <c r="BP459" s="23"/>
      <c r="BQ459" s="23"/>
      <c r="BR459" s="24"/>
      <c r="BS459" s="24"/>
      <c r="BT459" s="68"/>
      <c r="BU459" s="68"/>
      <c r="BV459" s="25"/>
      <c r="BW459" s="26"/>
      <c r="BX459" s="27"/>
      <c r="BY459" s="28"/>
      <c r="BZ459" s="28"/>
      <c r="CA459" s="28"/>
      <c r="CB459" s="28"/>
      <c r="CC459" s="28"/>
      <c r="CD459" s="28"/>
      <c r="CE459" s="28"/>
      <c r="CF459" s="28"/>
      <c r="CG459" s="28"/>
      <c r="CH459" s="28"/>
      <c r="CI459" s="28"/>
      <c r="CJ459" s="28"/>
      <c r="CK459" s="28"/>
      <c r="CL459" s="28"/>
      <c r="CM459" s="28"/>
      <c r="CN459" s="28"/>
      <c r="CO459" s="28"/>
      <c r="CP459" s="28"/>
      <c r="CQ459" s="28"/>
      <c r="CR459" s="28"/>
      <c r="CS459" s="28"/>
      <c r="CT459" s="28"/>
      <c r="CU459" s="28"/>
      <c r="CV459" s="28"/>
      <c r="CW459" s="28"/>
      <c r="CX459" s="28"/>
      <c r="CY459" s="28"/>
      <c r="CZ459" s="28"/>
      <c r="DA459" s="28"/>
      <c r="DB459" s="28"/>
      <c r="DC459" s="28"/>
      <c r="DD459" s="28"/>
      <c r="DE459" s="28"/>
      <c r="DF459" s="28"/>
      <c r="DG459" s="28"/>
      <c r="DH459" s="28"/>
      <c r="DI459" s="28"/>
      <c r="DJ459" s="28"/>
      <c r="DK459" s="29"/>
      <c r="DL459" s="29"/>
      <c r="DM459" s="29"/>
      <c r="DN459" s="29"/>
      <c r="DO459" s="29"/>
      <c r="DP459" s="29"/>
      <c r="DQ459" s="29"/>
      <c r="DR459" s="29"/>
      <c r="DS459" s="22"/>
      <c r="DT459" s="22"/>
      <c r="DU459" s="22"/>
      <c r="DV459" s="22"/>
    </row>
    <row r="460" spans="61:126" x14ac:dyDescent="0.25">
      <c r="BI460" s="22"/>
      <c r="BJ460" s="22"/>
      <c r="BK460" s="22"/>
      <c r="BL460" s="22"/>
      <c r="BM460" s="66"/>
      <c r="BN460" s="66"/>
      <c r="BO460" s="23"/>
      <c r="BP460" s="23"/>
      <c r="BQ460" s="23"/>
      <c r="BR460" s="24"/>
      <c r="BS460" s="24"/>
      <c r="BT460" s="68"/>
      <c r="BU460" s="68"/>
      <c r="BV460" s="25"/>
      <c r="BW460" s="26"/>
      <c r="BX460" s="27"/>
      <c r="BY460" s="28"/>
      <c r="BZ460" s="28"/>
      <c r="CA460" s="28"/>
      <c r="CB460" s="28"/>
      <c r="CC460" s="28"/>
      <c r="CD460" s="28"/>
      <c r="CE460" s="28"/>
      <c r="CF460" s="28"/>
      <c r="CG460" s="28"/>
      <c r="CH460" s="28"/>
      <c r="CI460" s="28"/>
      <c r="CJ460" s="28"/>
      <c r="CK460" s="28"/>
      <c r="CL460" s="28"/>
      <c r="CM460" s="28"/>
      <c r="CN460" s="28"/>
      <c r="CO460" s="28"/>
      <c r="CP460" s="28"/>
      <c r="CQ460" s="28"/>
      <c r="CR460" s="28"/>
      <c r="CS460" s="28"/>
      <c r="CT460" s="28"/>
      <c r="CU460" s="28"/>
      <c r="CV460" s="28"/>
      <c r="CW460" s="28"/>
      <c r="CX460" s="28"/>
      <c r="CY460" s="28"/>
      <c r="CZ460" s="28"/>
      <c r="DA460" s="28"/>
      <c r="DB460" s="28"/>
      <c r="DC460" s="28"/>
      <c r="DD460" s="28"/>
      <c r="DE460" s="28"/>
      <c r="DF460" s="28"/>
      <c r="DG460" s="28"/>
      <c r="DH460" s="28"/>
      <c r="DI460" s="28"/>
      <c r="DJ460" s="28"/>
      <c r="DK460" s="29"/>
      <c r="DL460" s="29"/>
      <c r="DM460" s="29"/>
      <c r="DN460" s="29"/>
      <c r="DO460" s="29"/>
      <c r="DP460" s="29"/>
      <c r="DQ460" s="29"/>
      <c r="DR460" s="29"/>
      <c r="DS460" s="22"/>
      <c r="DT460" s="22"/>
      <c r="DU460" s="22"/>
      <c r="DV460" s="22"/>
    </row>
    <row r="461" spans="61:126" x14ac:dyDescent="0.25">
      <c r="BI461" s="22"/>
      <c r="BJ461" s="22"/>
      <c r="BK461" s="22"/>
      <c r="BL461" s="22"/>
      <c r="BM461" s="66"/>
      <c r="BN461" s="66"/>
      <c r="BO461" s="23"/>
      <c r="BP461" s="23"/>
      <c r="BQ461" s="23"/>
      <c r="BR461" s="24"/>
      <c r="BS461" s="24"/>
      <c r="BT461" s="68"/>
      <c r="BU461" s="68"/>
      <c r="BV461" s="25"/>
      <c r="BW461" s="26"/>
      <c r="BX461" s="27"/>
      <c r="BY461" s="28"/>
      <c r="BZ461" s="28"/>
      <c r="CA461" s="28"/>
      <c r="CB461" s="28"/>
      <c r="CC461" s="28"/>
      <c r="CD461" s="28"/>
      <c r="CE461" s="28"/>
      <c r="CF461" s="28"/>
      <c r="CG461" s="28"/>
      <c r="CH461" s="28"/>
      <c r="CI461" s="28"/>
      <c r="CJ461" s="28"/>
      <c r="CK461" s="28"/>
      <c r="CL461" s="28"/>
      <c r="CM461" s="28"/>
      <c r="CN461" s="28"/>
      <c r="CO461" s="28"/>
      <c r="CP461" s="28"/>
      <c r="CQ461" s="28"/>
      <c r="CR461" s="28"/>
      <c r="CS461" s="28"/>
      <c r="CT461" s="28"/>
      <c r="CU461" s="28"/>
      <c r="CV461" s="28"/>
      <c r="CW461" s="28"/>
      <c r="CX461" s="28"/>
      <c r="CY461" s="28"/>
      <c r="CZ461" s="28"/>
      <c r="DA461" s="28"/>
      <c r="DB461" s="28"/>
      <c r="DC461" s="28"/>
      <c r="DD461" s="28"/>
      <c r="DE461" s="28"/>
      <c r="DF461" s="28"/>
      <c r="DG461" s="28"/>
      <c r="DH461" s="28"/>
      <c r="DI461" s="28"/>
      <c r="DJ461" s="28"/>
      <c r="DK461" s="29"/>
      <c r="DL461" s="29"/>
      <c r="DM461" s="29"/>
      <c r="DN461" s="29"/>
      <c r="DO461" s="29"/>
      <c r="DP461" s="29"/>
      <c r="DQ461" s="29"/>
      <c r="DR461" s="29"/>
      <c r="DS461" s="22"/>
      <c r="DT461" s="22"/>
      <c r="DU461" s="22"/>
      <c r="DV461" s="22"/>
    </row>
    <row r="462" spans="61:126" x14ac:dyDescent="0.25">
      <c r="BI462" s="22"/>
      <c r="BJ462" s="22"/>
      <c r="BK462" s="22"/>
      <c r="BL462" s="22"/>
      <c r="BM462" s="66"/>
      <c r="BN462" s="66"/>
      <c r="BO462" s="23"/>
      <c r="BP462" s="23"/>
      <c r="BQ462" s="23"/>
      <c r="BR462" s="24"/>
      <c r="BS462" s="24"/>
      <c r="BT462" s="68"/>
      <c r="BU462" s="68"/>
      <c r="BV462" s="25"/>
      <c r="BW462" s="26"/>
      <c r="BX462" s="27"/>
      <c r="BY462" s="28"/>
      <c r="BZ462" s="28"/>
      <c r="CA462" s="28"/>
      <c r="CB462" s="28"/>
      <c r="CC462" s="28"/>
      <c r="CD462" s="28"/>
      <c r="CE462" s="28"/>
      <c r="CF462" s="28"/>
      <c r="CG462" s="28"/>
      <c r="CH462" s="28"/>
      <c r="CI462" s="28"/>
      <c r="CJ462" s="28"/>
      <c r="CK462" s="28"/>
      <c r="CL462" s="28"/>
      <c r="CM462" s="28"/>
      <c r="CN462" s="28"/>
      <c r="CO462" s="28"/>
      <c r="CP462" s="28"/>
      <c r="CQ462" s="28"/>
      <c r="CR462" s="28"/>
      <c r="CS462" s="28"/>
      <c r="CT462" s="28"/>
      <c r="CU462" s="28"/>
      <c r="CV462" s="28"/>
      <c r="CW462" s="28"/>
      <c r="CX462" s="28"/>
      <c r="CY462" s="28"/>
      <c r="CZ462" s="28"/>
      <c r="DA462" s="28"/>
      <c r="DB462" s="28"/>
      <c r="DC462" s="28"/>
      <c r="DD462" s="28"/>
      <c r="DE462" s="28"/>
      <c r="DF462" s="28"/>
      <c r="DG462" s="28"/>
      <c r="DH462" s="28"/>
      <c r="DI462" s="28"/>
      <c r="DJ462" s="28"/>
      <c r="DK462" s="29"/>
      <c r="DL462" s="29"/>
      <c r="DM462" s="29"/>
      <c r="DN462" s="29"/>
      <c r="DO462" s="29"/>
      <c r="DP462" s="29"/>
      <c r="DQ462" s="29"/>
      <c r="DR462" s="29"/>
      <c r="DS462" s="22"/>
      <c r="DT462" s="22"/>
      <c r="DU462" s="22"/>
      <c r="DV462" s="22"/>
    </row>
    <row r="463" spans="61:126" x14ac:dyDescent="0.25">
      <c r="BI463" s="22"/>
      <c r="BJ463" s="22"/>
      <c r="BK463" s="22"/>
      <c r="BL463" s="22"/>
      <c r="BM463" s="66"/>
      <c r="BN463" s="66"/>
      <c r="BO463" s="23"/>
      <c r="BP463" s="23"/>
      <c r="BQ463" s="23"/>
      <c r="BR463" s="24"/>
      <c r="BS463" s="24"/>
      <c r="BT463" s="68"/>
      <c r="BU463" s="68"/>
      <c r="BV463" s="25"/>
      <c r="BW463" s="26"/>
      <c r="BX463" s="27"/>
      <c r="BY463" s="28"/>
      <c r="BZ463" s="28"/>
      <c r="CA463" s="28"/>
      <c r="CB463" s="28"/>
      <c r="CC463" s="28"/>
      <c r="CD463" s="28"/>
      <c r="CE463" s="28"/>
      <c r="CF463" s="28"/>
      <c r="CG463" s="28"/>
      <c r="CH463" s="28"/>
      <c r="CI463" s="28"/>
      <c r="CJ463" s="28"/>
      <c r="CK463" s="28"/>
      <c r="CL463" s="28"/>
      <c r="CM463" s="28"/>
      <c r="CN463" s="28"/>
      <c r="CO463" s="28"/>
      <c r="CP463" s="28"/>
      <c r="CQ463" s="28"/>
      <c r="CR463" s="28"/>
      <c r="CS463" s="28"/>
      <c r="CT463" s="28"/>
      <c r="CU463" s="28"/>
      <c r="CV463" s="28"/>
      <c r="CW463" s="28"/>
      <c r="CX463" s="28"/>
      <c r="CY463" s="28"/>
      <c r="CZ463" s="28"/>
      <c r="DA463" s="28"/>
      <c r="DB463" s="28"/>
      <c r="DC463" s="28"/>
      <c r="DD463" s="28"/>
      <c r="DE463" s="28"/>
      <c r="DF463" s="28"/>
      <c r="DG463" s="28"/>
      <c r="DH463" s="28"/>
      <c r="DI463" s="28"/>
      <c r="DJ463" s="28"/>
      <c r="DK463" s="29"/>
      <c r="DL463" s="29"/>
      <c r="DM463" s="29"/>
      <c r="DN463" s="29"/>
      <c r="DO463" s="29"/>
      <c r="DP463" s="29"/>
      <c r="DQ463" s="29"/>
      <c r="DR463" s="29"/>
      <c r="DS463" s="22"/>
      <c r="DT463" s="22"/>
      <c r="DU463" s="22"/>
      <c r="DV463" s="22"/>
    </row>
    <row r="464" spans="61:126" x14ac:dyDescent="0.25">
      <c r="BI464" s="22"/>
      <c r="BJ464" s="22"/>
      <c r="BK464" s="22"/>
      <c r="BL464" s="22"/>
      <c r="BM464" s="66"/>
      <c r="BN464" s="66"/>
      <c r="BO464" s="23"/>
      <c r="BP464" s="23"/>
      <c r="BQ464" s="23"/>
      <c r="BR464" s="24"/>
      <c r="BS464" s="24"/>
      <c r="BT464" s="68"/>
      <c r="BU464" s="68"/>
      <c r="BV464" s="25"/>
      <c r="BW464" s="26"/>
      <c r="BX464" s="27"/>
      <c r="BY464" s="28"/>
      <c r="BZ464" s="28"/>
      <c r="CA464" s="28"/>
      <c r="CB464" s="28"/>
      <c r="CC464" s="28"/>
      <c r="CD464" s="28"/>
      <c r="CE464" s="28"/>
      <c r="CF464" s="28"/>
      <c r="CG464" s="28"/>
      <c r="CH464" s="28"/>
      <c r="CI464" s="28"/>
      <c r="CJ464" s="28"/>
      <c r="CK464" s="28"/>
      <c r="CL464" s="28"/>
      <c r="CM464" s="28"/>
      <c r="CN464" s="28"/>
      <c r="CO464" s="28"/>
      <c r="CP464" s="28"/>
      <c r="CQ464" s="28"/>
      <c r="CR464" s="28"/>
      <c r="CS464" s="28"/>
      <c r="CT464" s="28"/>
      <c r="CU464" s="28"/>
      <c r="CV464" s="28"/>
      <c r="CW464" s="28"/>
      <c r="CX464" s="28"/>
      <c r="CY464" s="28"/>
      <c r="CZ464" s="28"/>
      <c r="DA464" s="28"/>
      <c r="DB464" s="28"/>
      <c r="DC464" s="28"/>
      <c r="DD464" s="28"/>
      <c r="DE464" s="28"/>
      <c r="DF464" s="28"/>
      <c r="DG464" s="28"/>
      <c r="DH464" s="28"/>
      <c r="DI464" s="28"/>
      <c r="DJ464" s="28"/>
      <c r="DK464" s="29"/>
      <c r="DL464" s="29"/>
      <c r="DM464" s="29"/>
      <c r="DN464" s="29"/>
      <c r="DO464" s="29"/>
      <c r="DP464" s="29"/>
      <c r="DQ464" s="29"/>
      <c r="DR464" s="29"/>
      <c r="DS464" s="22"/>
      <c r="DT464" s="22"/>
      <c r="DU464" s="22"/>
      <c r="DV464" s="22"/>
    </row>
    <row r="465" spans="61:126" x14ac:dyDescent="0.25">
      <c r="BI465" s="22"/>
      <c r="BJ465" s="22"/>
      <c r="BK465" s="22"/>
      <c r="BL465" s="22"/>
      <c r="BM465" s="66"/>
      <c r="BN465" s="66"/>
      <c r="BO465" s="23"/>
      <c r="BP465" s="23"/>
      <c r="BQ465" s="23"/>
      <c r="BR465" s="24"/>
      <c r="BS465" s="24"/>
      <c r="BT465" s="68"/>
      <c r="BU465" s="68"/>
      <c r="BV465" s="25"/>
      <c r="BW465" s="26"/>
      <c r="BX465" s="27"/>
      <c r="BY465" s="28"/>
      <c r="BZ465" s="28"/>
      <c r="CA465" s="28"/>
      <c r="CB465" s="28"/>
      <c r="CC465" s="28"/>
      <c r="CD465" s="28"/>
      <c r="CE465" s="28"/>
      <c r="CF465" s="28"/>
      <c r="CG465" s="28"/>
      <c r="CH465" s="28"/>
      <c r="CI465" s="28"/>
      <c r="CJ465" s="28"/>
      <c r="CK465" s="28"/>
      <c r="CL465" s="28"/>
      <c r="CM465" s="28"/>
      <c r="CN465" s="28"/>
      <c r="CO465" s="28"/>
      <c r="CP465" s="28"/>
      <c r="CQ465" s="28"/>
      <c r="CR465" s="28"/>
      <c r="CS465" s="28"/>
      <c r="CT465" s="28"/>
      <c r="CU465" s="28"/>
      <c r="CV465" s="28"/>
      <c r="CW465" s="28"/>
      <c r="CX465" s="28"/>
      <c r="CY465" s="28"/>
      <c r="CZ465" s="28"/>
      <c r="DA465" s="28"/>
      <c r="DB465" s="28"/>
      <c r="DC465" s="28"/>
      <c r="DD465" s="28"/>
      <c r="DE465" s="28"/>
      <c r="DF465" s="28"/>
      <c r="DG465" s="28"/>
      <c r="DH465" s="28"/>
      <c r="DI465" s="28"/>
      <c r="DJ465" s="28"/>
      <c r="DK465" s="29"/>
      <c r="DL465" s="29"/>
      <c r="DM465" s="29"/>
      <c r="DN465" s="29"/>
      <c r="DO465" s="29"/>
      <c r="DP465" s="29"/>
      <c r="DQ465" s="29"/>
      <c r="DR465" s="29"/>
      <c r="DS465" s="22"/>
      <c r="DT465" s="22"/>
      <c r="DU465" s="22"/>
      <c r="DV465" s="22"/>
    </row>
    <row r="466" spans="61:126" x14ac:dyDescent="0.25">
      <c r="BI466" s="22"/>
      <c r="BJ466" s="22"/>
      <c r="BK466" s="22"/>
      <c r="BL466" s="22"/>
      <c r="BM466" s="66"/>
      <c r="BN466" s="66"/>
      <c r="BO466" s="23"/>
      <c r="BP466" s="23"/>
      <c r="BQ466" s="23"/>
      <c r="BR466" s="24"/>
      <c r="BS466" s="24"/>
      <c r="BT466" s="68"/>
      <c r="BU466" s="68"/>
      <c r="BV466" s="25"/>
      <c r="BW466" s="26"/>
      <c r="BX466" s="27"/>
      <c r="BY466" s="28"/>
      <c r="BZ466" s="28"/>
      <c r="CA466" s="28"/>
      <c r="CB466" s="28"/>
      <c r="CC466" s="28"/>
      <c r="CD466" s="28"/>
      <c r="CE466" s="28"/>
      <c r="CF466" s="28"/>
      <c r="CG466" s="28"/>
      <c r="CH466" s="28"/>
      <c r="CI466" s="28"/>
      <c r="CJ466" s="28"/>
      <c r="CK466" s="28"/>
      <c r="CL466" s="28"/>
      <c r="CM466" s="28"/>
      <c r="CN466" s="28"/>
      <c r="CO466" s="28"/>
      <c r="CP466" s="28"/>
      <c r="CQ466" s="28"/>
      <c r="CR466" s="28"/>
      <c r="CS466" s="28"/>
      <c r="CT466" s="28"/>
      <c r="CU466" s="28"/>
      <c r="CV466" s="28"/>
      <c r="CW466" s="28"/>
      <c r="CX466" s="28"/>
      <c r="CY466" s="28"/>
      <c r="CZ466" s="28"/>
      <c r="DA466" s="28"/>
      <c r="DB466" s="28"/>
      <c r="DC466" s="28"/>
      <c r="DD466" s="28"/>
      <c r="DE466" s="28"/>
      <c r="DF466" s="28"/>
      <c r="DG466" s="28"/>
      <c r="DH466" s="28"/>
      <c r="DI466" s="28"/>
      <c r="DJ466" s="28"/>
      <c r="DK466" s="29"/>
      <c r="DL466" s="29"/>
      <c r="DM466" s="29"/>
      <c r="DN466" s="29"/>
      <c r="DO466" s="29"/>
      <c r="DP466" s="29"/>
      <c r="DQ466" s="29"/>
      <c r="DR466" s="29"/>
      <c r="DS466" s="22"/>
      <c r="DT466" s="22"/>
      <c r="DU466" s="22"/>
      <c r="DV466" s="22"/>
    </row>
    <row r="467" spans="61:126" x14ac:dyDescent="0.25">
      <c r="BI467" s="22"/>
      <c r="BJ467" s="22"/>
      <c r="BK467" s="22"/>
      <c r="BL467" s="22"/>
      <c r="BM467" s="66"/>
      <c r="BN467" s="66"/>
      <c r="BO467" s="23"/>
      <c r="BP467" s="23"/>
      <c r="BQ467" s="23"/>
      <c r="BR467" s="24"/>
      <c r="BS467" s="24"/>
      <c r="BT467" s="68"/>
      <c r="BU467" s="68"/>
      <c r="BV467" s="25"/>
      <c r="BW467" s="26"/>
      <c r="BX467" s="27"/>
      <c r="BY467" s="28"/>
      <c r="BZ467" s="28"/>
      <c r="CA467" s="28"/>
      <c r="CB467" s="28"/>
      <c r="CC467" s="28"/>
      <c r="CD467" s="28"/>
      <c r="CE467" s="28"/>
      <c r="CF467" s="28"/>
      <c r="CG467" s="28"/>
      <c r="CH467" s="28"/>
      <c r="CI467" s="28"/>
      <c r="CJ467" s="28"/>
      <c r="CK467" s="28"/>
      <c r="CL467" s="28"/>
      <c r="CM467" s="28"/>
      <c r="CN467" s="28"/>
      <c r="CO467" s="28"/>
      <c r="CP467" s="28"/>
      <c r="CQ467" s="28"/>
      <c r="CR467" s="28"/>
      <c r="CS467" s="28"/>
      <c r="CT467" s="28"/>
      <c r="CU467" s="28"/>
      <c r="CV467" s="28"/>
      <c r="CW467" s="28"/>
      <c r="CX467" s="28"/>
      <c r="CY467" s="28"/>
      <c r="CZ467" s="28"/>
      <c r="DA467" s="28"/>
      <c r="DB467" s="28"/>
      <c r="DC467" s="28"/>
      <c r="DD467" s="28"/>
      <c r="DE467" s="28"/>
      <c r="DF467" s="28"/>
      <c r="DG467" s="28"/>
      <c r="DH467" s="28"/>
      <c r="DI467" s="28"/>
      <c r="DJ467" s="28"/>
      <c r="DK467" s="29"/>
      <c r="DL467" s="29"/>
      <c r="DM467" s="29"/>
      <c r="DN467" s="29"/>
      <c r="DO467" s="29"/>
      <c r="DP467" s="29"/>
      <c r="DQ467" s="29"/>
      <c r="DR467" s="29"/>
      <c r="DS467" s="22"/>
      <c r="DT467" s="22"/>
      <c r="DU467" s="22"/>
      <c r="DV467" s="22"/>
    </row>
    <row r="468" spans="61:126" x14ac:dyDescent="0.25">
      <c r="BI468" s="22"/>
      <c r="BJ468" s="22"/>
      <c r="BK468" s="22"/>
      <c r="BL468" s="22"/>
      <c r="BM468" s="66"/>
      <c r="BN468" s="66"/>
      <c r="BO468" s="23"/>
      <c r="BP468" s="23"/>
      <c r="BQ468" s="23"/>
      <c r="BR468" s="24"/>
      <c r="BS468" s="24"/>
      <c r="BT468" s="68"/>
      <c r="BU468" s="68"/>
      <c r="BV468" s="25"/>
      <c r="BW468" s="26"/>
      <c r="BX468" s="27"/>
      <c r="BY468" s="28"/>
      <c r="BZ468" s="28"/>
      <c r="CA468" s="28"/>
      <c r="CB468" s="28"/>
      <c r="CC468" s="28"/>
      <c r="CD468" s="28"/>
      <c r="CE468" s="28"/>
      <c r="CF468" s="28"/>
      <c r="CG468" s="28"/>
      <c r="CH468" s="28"/>
      <c r="CI468" s="28"/>
      <c r="CJ468" s="28"/>
      <c r="CK468" s="28"/>
      <c r="CL468" s="28"/>
      <c r="CM468" s="28"/>
      <c r="CN468" s="28"/>
      <c r="CO468" s="28"/>
      <c r="CP468" s="28"/>
      <c r="CQ468" s="28"/>
      <c r="CR468" s="28"/>
      <c r="CS468" s="28"/>
      <c r="CT468" s="28"/>
      <c r="CU468" s="28"/>
      <c r="CV468" s="28"/>
      <c r="CW468" s="28"/>
      <c r="CX468" s="28"/>
      <c r="CY468" s="28"/>
      <c r="CZ468" s="28"/>
      <c r="DA468" s="28"/>
      <c r="DB468" s="28"/>
      <c r="DC468" s="28"/>
      <c r="DD468" s="28"/>
      <c r="DE468" s="28"/>
      <c r="DF468" s="28"/>
      <c r="DG468" s="28"/>
      <c r="DH468" s="28"/>
      <c r="DI468" s="28"/>
      <c r="DJ468" s="28"/>
      <c r="DK468" s="29"/>
      <c r="DL468" s="29"/>
      <c r="DM468" s="29"/>
      <c r="DN468" s="29"/>
      <c r="DO468" s="29"/>
      <c r="DP468" s="29"/>
      <c r="DQ468" s="29"/>
      <c r="DR468" s="29"/>
      <c r="DS468" s="22"/>
      <c r="DT468" s="22"/>
      <c r="DU468" s="22"/>
      <c r="DV468" s="22"/>
    </row>
    <row r="469" spans="61:126" x14ac:dyDescent="0.25">
      <c r="BI469" s="22"/>
      <c r="BJ469" s="22"/>
      <c r="BK469" s="22"/>
      <c r="BL469" s="22"/>
      <c r="BM469" s="66"/>
      <c r="BN469" s="66"/>
      <c r="BO469" s="23"/>
      <c r="BP469" s="23"/>
      <c r="BQ469" s="23"/>
      <c r="BR469" s="24"/>
      <c r="BS469" s="24"/>
      <c r="BT469" s="68"/>
      <c r="BU469" s="68"/>
      <c r="BV469" s="25"/>
      <c r="BW469" s="26"/>
      <c r="BX469" s="27"/>
      <c r="BY469" s="28"/>
      <c r="BZ469" s="28"/>
      <c r="CA469" s="28"/>
      <c r="CB469" s="28"/>
      <c r="CC469" s="28"/>
      <c r="CD469" s="28"/>
      <c r="CE469" s="28"/>
      <c r="CF469" s="28"/>
      <c r="CG469" s="28"/>
      <c r="CH469" s="28"/>
      <c r="CI469" s="28"/>
      <c r="CJ469" s="28"/>
      <c r="CK469" s="28"/>
      <c r="CL469" s="28"/>
      <c r="CM469" s="28"/>
      <c r="CN469" s="28"/>
      <c r="CO469" s="28"/>
      <c r="CP469" s="28"/>
      <c r="CQ469" s="28"/>
      <c r="CR469" s="28"/>
      <c r="CS469" s="28"/>
      <c r="CT469" s="28"/>
      <c r="CU469" s="28"/>
      <c r="CV469" s="28"/>
      <c r="CW469" s="28"/>
      <c r="CX469" s="28"/>
      <c r="CY469" s="28"/>
      <c r="CZ469" s="28"/>
      <c r="DA469" s="28"/>
      <c r="DB469" s="28"/>
      <c r="DC469" s="28"/>
      <c r="DD469" s="28"/>
      <c r="DE469" s="28"/>
      <c r="DF469" s="28"/>
      <c r="DG469" s="28"/>
      <c r="DH469" s="28"/>
      <c r="DI469" s="28"/>
      <c r="DJ469" s="28"/>
      <c r="DK469" s="29"/>
      <c r="DL469" s="29"/>
      <c r="DM469" s="29"/>
      <c r="DN469" s="29"/>
      <c r="DO469" s="29"/>
      <c r="DP469" s="29"/>
      <c r="DQ469" s="29"/>
      <c r="DR469" s="29"/>
      <c r="DS469" s="22"/>
      <c r="DT469" s="22"/>
      <c r="DU469" s="22"/>
      <c r="DV469" s="22"/>
    </row>
    <row r="470" spans="61:126" x14ac:dyDescent="0.25">
      <c r="BI470" s="22"/>
      <c r="BJ470" s="22"/>
      <c r="BK470" s="22"/>
      <c r="BL470" s="22"/>
      <c r="BM470" s="66"/>
      <c r="BN470" s="66"/>
      <c r="BO470" s="23"/>
      <c r="BP470" s="23"/>
      <c r="BQ470" s="23"/>
      <c r="BR470" s="24"/>
      <c r="BS470" s="24"/>
      <c r="BT470" s="68"/>
      <c r="BU470" s="68"/>
      <c r="BV470" s="25"/>
      <c r="BW470" s="26"/>
      <c r="BX470" s="27"/>
      <c r="BY470" s="28"/>
      <c r="BZ470" s="28"/>
      <c r="CA470" s="28"/>
      <c r="CB470" s="28"/>
      <c r="CC470" s="28"/>
      <c r="CD470" s="28"/>
      <c r="CE470" s="28"/>
      <c r="CF470" s="28"/>
      <c r="CG470" s="28"/>
      <c r="CH470" s="28"/>
      <c r="CI470" s="28"/>
      <c r="CJ470" s="28"/>
      <c r="CK470" s="28"/>
      <c r="CL470" s="28"/>
      <c r="CM470" s="28"/>
      <c r="CN470" s="28"/>
      <c r="CO470" s="28"/>
      <c r="CP470" s="28"/>
      <c r="CQ470" s="28"/>
      <c r="CR470" s="28"/>
      <c r="CS470" s="28"/>
      <c r="CT470" s="28"/>
      <c r="CU470" s="28"/>
      <c r="CV470" s="28"/>
      <c r="CW470" s="28"/>
      <c r="CX470" s="28"/>
      <c r="CY470" s="28"/>
      <c r="CZ470" s="28"/>
      <c r="DA470" s="28"/>
      <c r="DB470" s="28"/>
      <c r="DC470" s="28"/>
      <c r="DD470" s="28"/>
      <c r="DE470" s="28"/>
      <c r="DF470" s="28"/>
      <c r="DG470" s="28"/>
      <c r="DH470" s="28"/>
      <c r="DI470" s="28"/>
      <c r="DJ470" s="28"/>
      <c r="DK470" s="29"/>
      <c r="DL470" s="29"/>
      <c r="DM470" s="29"/>
      <c r="DN470" s="29"/>
      <c r="DO470" s="29"/>
      <c r="DP470" s="29"/>
      <c r="DQ470" s="29"/>
      <c r="DR470" s="29"/>
      <c r="DS470" s="22"/>
      <c r="DT470" s="22"/>
      <c r="DU470" s="22"/>
      <c r="DV470" s="22"/>
    </row>
    <row r="471" spans="61:126" x14ac:dyDescent="0.25">
      <c r="BI471" s="22"/>
      <c r="BJ471" s="22"/>
      <c r="BK471" s="22"/>
      <c r="BL471" s="22"/>
      <c r="BM471" s="66"/>
      <c r="BN471" s="66"/>
      <c r="BO471" s="23"/>
      <c r="BP471" s="23"/>
      <c r="BQ471" s="23"/>
      <c r="BR471" s="24"/>
      <c r="BS471" s="24"/>
      <c r="BT471" s="68"/>
      <c r="BU471" s="68"/>
      <c r="BV471" s="25"/>
      <c r="BW471" s="26"/>
      <c r="BX471" s="27"/>
      <c r="BY471" s="28"/>
      <c r="BZ471" s="28"/>
      <c r="CA471" s="28"/>
      <c r="CB471" s="28"/>
      <c r="CC471" s="28"/>
      <c r="CD471" s="28"/>
      <c r="CE471" s="28"/>
      <c r="CF471" s="28"/>
      <c r="CG471" s="28"/>
      <c r="CH471" s="28"/>
      <c r="CI471" s="28"/>
      <c r="CJ471" s="28"/>
      <c r="CK471" s="28"/>
      <c r="CL471" s="28"/>
      <c r="CM471" s="28"/>
      <c r="CN471" s="28"/>
      <c r="CO471" s="28"/>
      <c r="CP471" s="28"/>
      <c r="CQ471" s="28"/>
      <c r="CR471" s="28"/>
      <c r="CS471" s="28"/>
      <c r="CT471" s="28"/>
      <c r="CU471" s="28"/>
      <c r="CV471" s="28"/>
      <c r="CW471" s="28"/>
      <c r="CX471" s="28"/>
      <c r="CY471" s="28"/>
      <c r="CZ471" s="28"/>
      <c r="DA471" s="28"/>
      <c r="DB471" s="28"/>
      <c r="DC471" s="28"/>
      <c r="DD471" s="28"/>
      <c r="DE471" s="28"/>
      <c r="DF471" s="28"/>
      <c r="DG471" s="28"/>
      <c r="DH471" s="28"/>
      <c r="DI471" s="28"/>
      <c r="DJ471" s="28"/>
      <c r="DK471" s="29"/>
      <c r="DL471" s="29"/>
      <c r="DM471" s="29"/>
      <c r="DN471" s="29"/>
      <c r="DO471" s="29"/>
      <c r="DP471" s="29"/>
      <c r="DQ471" s="29"/>
      <c r="DR471" s="29"/>
      <c r="DS471" s="22"/>
      <c r="DT471" s="22"/>
      <c r="DU471" s="22"/>
      <c r="DV471" s="22"/>
    </row>
    <row r="472" spans="61:126" x14ac:dyDescent="0.25">
      <c r="BI472" s="22"/>
      <c r="BJ472" s="22"/>
      <c r="BK472" s="22"/>
      <c r="BL472" s="22"/>
      <c r="BM472" s="66"/>
      <c r="BN472" s="66"/>
      <c r="BO472" s="23"/>
      <c r="BP472" s="23"/>
      <c r="BQ472" s="23"/>
      <c r="BR472" s="24"/>
      <c r="BS472" s="24"/>
      <c r="BT472" s="68"/>
      <c r="BU472" s="68"/>
      <c r="BV472" s="25"/>
      <c r="BW472" s="26"/>
      <c r="BX472" s="27"/>
      <c r="BY472" s="28"/>
      <c r="BZ472" s="28"/>
      <c r="CA472" s="28"/>
      <c r="CB472" s="28"/>
      <c r="CC472" s="28"/>
      <c r="CD472" s="28"/>
      <c r="CE472" s="28"/>
      <c r="CF472" s="28"/>
      <c r="CG472" s="28"/>
      <c r="CH472" s="28"/>
      <c r="CI472" s="28"/>
      <c r="CJ472" s="28"/>
      <c r="CK472" s="28"/>
      <c r="CL472" s="28"/>
      <c r="CM472" s="28"/>
      <c r="CN472" s="28"/>
      <c r="CO472" s="28"/>
      <c r="CP472" s="28"/>
      <c r="CQ472" s="28"/>
      <c r="CR472" s="28"/>
      <c r="CS472" s="28"/>
      <c r="CT472" s="28"/>
      <c r="CU472" s="28"/>
      <c r="CV472" s="28"/>
      <c r="CW472" s="28"/>
      <c r="CX472" s="28"/>
      <c r="CY472" s="28"/>
      <c r="CZ472" s="28"/>
      <c r="DA472" s="28"/>
      <c r="DB472" s="28"/>
      <c r="DC472" s="28"/>
      <c r="DD472" s="28"/>
      <c r="DE472" s="28"/>
      <c r="DF472" s="28"/>
      <c r="DG472" s="28"/>
      <c r="DH472" s="28"/>
      <c r="DI472" s="28"/>
      <c r="DJ472" s="28"/>
      <c r="DK472" s="29"/>
      <c r="DL472" s="29"/>
      <c r="DM472" s="29"/>
      <c r="DN472" s="29"/>
      <c r="DO472" s="29"/>
      <c r="DP472" s="29"/>
      <c r="DQ472" s="29"/>
      <c r="DR472" s="29"/>
      <c r="DS472" s="22"/>
      <c r="DT472" s="22"/>
      <c r="DU472" s="22"/>
      <c r="DV472" s="22"/>
    </row>
    <row r="473" spans="61:126" x14ac:dyDescent="0.25">
      <c r="BI473" s="22"/>
      <c r="BJ473" s="22"/>
      <c r="BK473" s="22"/>
      <c r="BL473" s="22"/>
      <c r="BM473" s="66"/>
      <c r="BN473" s="66"/>
      <c r="BO473" s="23"/>
      <c r="BP473" s="23"/>
      <c r="BQ473" s="23"/>
      <c r="BR473" s="24"/>
      <c r="BS473" s="24"/>
      <c r="BT473" s="68"/>
      <c r="BU473" s="68"/>
      <c r="BV473" s="25"/>
      <c r="BW473" s="26"/>
      <c r="BX473" s="27"/>
      <c r="BY473" s="28"/>
      <c r="BZ473" s="28"/>
      <c r="CA473" s="28"/>
      <c r="CB473" s="28"/>
      <c r="CC473" s="28"/>
      <c r="CD473" s="28"/>
      <c r="CE473" s="28"/>
      <c r="CF473" s="28"/>
      <c r="CG473" s="28"/>
      <c r="CH473" s="28"/>
      <c r="CI473" s="28"/>
      <c r="CJ473" s="28"/>
      <c r="CK473" s="28"/>
      <c r="CL473" s="28"/>
      <c r="CM473" s="28"/>
      <c r="CN473" s="28"/>
      <c r="CO473" s="28"/>
      <c r="CP473" s="28"/>
      <c r="CQ473" s="28"/>
      <c r="CR473" s="28"/>
      <c r="CS473" s="28"/>
      <c r="CT473" s="28"/>
      <c r="CU473" s="28"/>
      <c r="CV473" s="28"/>
      <c r="CW473" s="28"/>
      <c r="CX473" s="28"/>
      <c r="CY473" s="28"/>
      <c r="CZ473" s="28"/>
      <c r="DA473" s="28"/>
      <c r="DB473" s="28"/>
      <c r="DC473" s="28"/>
      <c r="DD473" s="28"/>
      <c r="DE473" s="28"/>
      <c r="DF473" s="28"/>
      <c r="DG473" s="28"/>
      <c r="DH473" s="28"/>
      <c r="DI473" s="28"/>
      <c r="DJ473" s="28"/>
      <c r="DK473" s="29"/>
      <c r="DL473" s="29"/>
      <c r="DM473" s="29"/>
      <c r="DN473" s="29"/>
      <c r="DO473" s="29"/>
      <c r="DP473" s="29"/>
      <c r="DQ473" s="29"/>
      <c r="DR473" s="29"/>
      <c r="DS473" s="22"/>
      <c r="DT473" s="22"/>
      <c r="DU473" s="22"/>
      <c r="DV473" s="22"/>
    </row>
    <row r="474" spans="61:126" x14ac:dyDescent="0.25">
      <c r="BI474" s="22"/>
      <c r="BJ474" s="22"/>
      <c r="BK474" s="22"/>
      <c r="BL474" s="22"/>
      <c r="BM474" s="66"/>
      <c r="BN474" s="66"/>
      <c r="BO474" s="23"/>
      <c r="BP474" s="23"/>
      <c r="BQ474" s="23"/>
      <c r="BR474" s="24"/>
      <c r="BS474" s="24"/>
      <c r="BT474" s="68"/>
      <c r="BU474" s="68"/>
      <c r="BV474" s="25"/>
      <c r="BW474" s="26"/>
      <c r="BX474" s="27"/>
      <c r="BY474" s="28"/>
      <c r="BZ474" s="28"/>
      <c r="CA474" s="28"/>
      <c r="CB474" s="28"/>
      <c r="CC474" s="28"/>
      <c r="CD474" s="28"/>
      <c r="CE474" s="28"/>
      <c r="CF474" s="28"/>
      <c r="CG474" s="28"/>
      <c r="CH474" s="28"/>
      <c r="CI474" s="28"/>
      <c r="CJ474" s="28"/>
      <c r="CK474" s="28"/>
      <c r="CL474" s="28"/>
      <c r="CM474" s="28"/>
      <c r="CN474" s="28"/>
      <c r="CO474" s="28"/>
      <c r="CP474" s="28"/>
      <c r="CQ474" s="28"/>
      <c r="CR474" s="28"/>
      <c r="CS474" s="28"/>
      <c r="CT474" s="28"/>
      <c r="CU474" s="28"/>
      <c r="CV474" s="28"/>
      <c r="CW474" s="28"/>
      <c r="CX474" s="28"/>
      <c r="CY474" s="28"/>
      <c r="CZ474" s="28"/>
      <c r="DA474" s="28"/>
      <c r="DB474" s="28"/>
      <c r="DC474" s="28"/>
      <c r="DD474" s="28"/>
      <c r="DE474" s="28"/>
      <c r="DF474" s="28"/>
      <c r="DG474" s="28"/>
      <c r="DH474" s="28"/>
      <c r="DI474" s="28"/>
      <c r="DJ474" s="28"/>
      <c r="DK474" s="29"/>
      <c r="DL474" s="29"/>
      <c r="DM474" s="29"/>
      <c r="DN474" s="29"/>
      <c r="DO474" s="29"/>
      <c r="DP474" s="29"/>
      <c r="DQ474" s="29"/>
      <c r="DR474" s="29"/>
      <c r="DS474" s="22"/>
      <c r="DT474" s="22"/>
      <c r="DU474" s="22"/>
      <c r="DV474" s="22"/>
    </row>
    <row r="475" spans="61:126" x14ac:dyDescent="0.25">
      <c r="BI475" s="22"/>
      <c r="BJ475" s="22"/>
      <c r="BK475" s="22"/>
      <c r="BL475" s="22"/>
      <c r="BM475" s="66"/>
      <c r="BN475" s="66"/>
      <c r="BO475" s="23"/>
      <c r="BP475" s="23"/>
      <c r="BQ475" s="23"/>
      <c r="BR475" s="24"/>
      <c r="BS475" s="24"/>
      <c r="BT475" s="68"/>
      <c r="BU475" s="68"/>
      <c r="BV475" s="25"/>
      <c r="BW475" s="26"/>
      <c r="BX475" s="27"/>
      <c r="BY475" s="28"/>
      <c r="BZ475" s="28"/>
      <c r="CA475" s="28"/>
      <c r="CB475" s="28"/>
      <c r="CC475" s="28"/>
      <c r="CD475" s="28"/>
      <c r="CE475" s="28"/>
      <c r="CF475" s="28"/>
      <c r="CG475" s="28"/>
      <c r="CH475" s="28"/>
      <c r="CI475" s="28"/>
      <c r="CJ475" s="28"/>
      <c r="CK475" s="28"/>
      <c r="CL475" s="28"/>
      <c r="CM475" s="28"/>
      <c r="CN475" s="28"/>
      <c r="CO475" s="28"/>
      <c r="CP475" s="28"/>
      <c r="CQ475" s="28"/>
      <c r="CR475" s="28"/>
      <c r="CS475" s="28"/>
      <c r="CT475" s="28"/>
      <c r="CU475" s="28"/>
      <c r="CV475" s="28"/>
      <c r="CW475" s="28"/>
      <c r="CX475" s="28"/>
      <c r="CY475" s="28"/>
      <c r="CZ475" s="28"/>
      <c r="DA475" s="28"/>
      <c r="DB475" s="28"/>
      <c r="DC475" s="28"/>
      <c r="DD475" s="28"/>
      <c r="DE475" s="28"/>
      <c r="DF475" s="28"/>
      <c r="DG475" s="28"/>
      <c r="DH475" s="28"/>
      <c r="DI475" s="28"/>
      <c r="DJ475" s="28"/>
      <c r="DK475" s="29"/>
      <c r="DL475" s="29"/>
      <c r="DM475" s="29"/>
      <c r="DN475" s="29"/>
      <c r="DO475" s="29"/>
      <c r="DP475" s="29"/>
      <c r="DQ475" s="29"/>
      <c r="DR475" s="29"/>
      <c r="DS475" s="22"/>
      <c r="DT475" s="22"/>
      <c r="DU475" s="22"/>
      <c r="DV475" s="22"/>
    </row>
    <row r="476" spans="61:126" x14ac:dyDescent="0.25">
      <c r="BI476" s="22"/>
      <c r="BJ476" s="22"/>
      <c r="BK476" s="22"/>
      <c r="BL476" s="22"/>
      <c r="BM476" s="66"/>
      <c r="BN476" s="66"/>
      <c r="BO476" s="23"/>
      <c r="BP476" s="23"/>
      <c r="BQ476" s="23"/>
      <c r="BR476" s="24"/>
      <c r="BS476" s="24"/>
      <c r="BT476" s="68"/>
      <c r="BU476" s="68"/>
      <c r="BV476" s="25"/>
      <c r="BW476" s="26"/>
      <c r="BX476" s="27"/>
      <c r="BY476" s="28"/>
      <c r="BZ476" s="28"/>
      <c r="CA476" s="28"/>
      <c r="CB476" s="28"/>
      <c r="CC476" s="28"/>
      <c r="CD476" s="28"/>
      <c r="CE476" s="28"/>
      <c r="CF476" s="28"/>
      <c r="CG476" s="28"/>
      <c r="CH476" s="28"/>
      <c r="CI476" s="28"/>
      <c r="CJ476" s="28"/>
      <c r="CK476" s="28"/>
      <c r="CL476" s="28"/>
      <c r="CM476" s="28"/>
      <c r="CN476" s="28"/>
      <c r="CO476" s="28"/>
      <c r="CP476" s="28"/>
      <c r="CQ476" s="28"/>
      <c r="CR476" s="28"/>
      <c r="CS476" s="28"/>
      <c r="CT476" s="28"/>
      <c r="CU476" s="28"/>
      <c r="CV476" s="28"/>
      <c r="CW476" s="28"/>
      <c r="CX476" s="28"/>
      <c r="CY476" s="28"/>
      <c r="CZ476" s="28"/>
      <c r="DA476" s="28"/>
      <c r="DB476" s="28"/>
      <c r="DC476" s="28"/>
      <c r="DD476" s="28"/>
      <c r="DE476" s="28"/>
      <c r="DF476" s="28"/>
      <c r="DG476" s="28"/>
      <c r="DH476" s="28"/>
      <c r="DI476" s="28"/>
      <c r="DJ476" s="28"/>
      <c r="DK476" s="29"/>
      <c r="DL476" s="29"/>
      <c r="DM476" s="29"/>
      <c r="DN476" s="29"/>
      <c r="DO476" s="29"/>
      <c r="DP476" s="29"/>
      <c r="DQ476" s="29"/>
      <c r="DR476" s="29"/>
      <c r="DS476" s="22"/>
      <c r="DT476" s="22"/>
      <c r="DU476" s="22"/>
      <c r="DV476" s="22"/>
    </row>
    <row r="477" spans="61:126" x14ac:dyDescent="0.25">
      <c r="BI477" s="22"/>
      <c r="BJ477" s="22"/>
      <c r="BK477" s="22"/>
      <c r="BL477" s="22"/>
      <c r="BM477" s="66"/>
      <c r="BN477" s="66"/>
      <c r="BO477" s="23"/>
      <c r="BP477" s="23"/>
      <c r="BQ477" s="23"/>
      <c r="BR477" s="24"/>
      <c r="BS477" s="24"/>
      <c r="BT477" s="68"/>
      <c r="BU477" s="68"/>
      <c r="BV477" s="25"/>
      <c r="BW477" s="26"/>
      <c r="BX477" s="27"/>
      <c r="BY477" s="28"/>
      <c r="BZ477" s="28"/>
      <c r="CA477" s="28"/>
      <c r="CB477" s="28"/>
      <c r="CC477" s="28"/>
      <c r="CD477" s="28"/>
      <c r="CE477" s="28"/>
      <c r="CF477" s="28"/>
      <c r="CG477" s="28"/>
      <c r="CH477" s="28"/>
      <c r="CI477" s="28"/>
      <c r="CJ477" s="28"/>
      <c r="CK477" s="28"/>
      <c r="CL477" s="28"/>
      <c r="CM477" s="28"/>
      <c r="CN477" s="28"/>
      <c r="CO477" s="28"/>
      <c r="CP477" s="28"/>
      <c r="CQ477" s="28"/>
      <c r="CR477" s="28"/>
      <c r="CS477" s="28"/>
      <c r="CT477" s="28"/>
      <c r="CU477" s="28"/>
      <c r="CV477" s="28"/>
      <c r="CW477" s="28"/>
      <c r="CX477" s="28"/>
      <c r="CY477" s="28"/>
      <c r="CZ477" s="28"/>
      <c r="DA477" s="28"/>
      <c r="DB477" s="28"/>
      <c r="DC477" s="28"/>
      <c r="DD477" s="28"/>
      <c r="DE477" s="28"/>
      <c r="DF477" s="28"/>
      <c r="DG477" s="28"/>
      <c r="DH477" s="28"/>
      <c r="DI477" s="28"/>
      <c r="DJ477" s="28"/>
      <c r="DK477" s="29"/>
      <c r="DL477" s="29"/>
      <c r="DM477" s="29"/>
      <c r="DN477" s="29"/>
      <c r="DO477" s="29"/>
      <c r="DP477" s="29"/>
      <c r="DQ477" s="29"/>
      <c r="DR477" s="29"/>
      <c r="DS477" s="22"/>
      <c r="DT477" s="22"/>
      <c r="DU477" s="22"/>
      <c r="DV477" s="22"/>
    </row>
    <row r="478" spans="61:126" x14ac:dyDescent="0.25">
      <c r="BI478" s="22"/>
      <c r="BJ478" s="22"/>
      <c r="BK478" s="22"/>
      <c r="BL478" s="22"/>
      <c r="BM478" s="66"/>
      <c r="BN478" s="66"/>
      <c r="BO478" s="23"/>
      <c r="BP478" s="23"/>
      <c r="BQ478" s="23"/>
      <c r="BR478" s="24"/>
      <c r="BS478" s="24"/>
      <c r="BT478" s="68"/>
      <c r="BU478" s="68"/>
      <c r="BV478" s="25"/>
      <c r="BW478" s="26"/>
      <c r="BX478" s="27"/>
      <c r="BY478" s="28"/>
      <c r="BZ478" s="28"/>
      <c r="CA478" s="28"/>
      <c r="CB478" s="28"/>
      <c r="CC478" s="28"/>
      <c r="CD478" s="28"/>
      <c r="CE478" s="28"/>
      <c r="CF478" s="28"/>
      <c r="CG478" s="28"/>
      <c r="CH478" s="28"/>
      <c r="CI478" s="28"/>
      <c r="CJ478" s="28"/>
      <c r="CK478" s="28"/>
      <c r="CL478" s="28"/>
      <c r="CM478" s="28"/>
      <c r="CN478" s="28"/>
      <c r="CO478" s="28"/>
      <c r="CP478" s="28"/>
      <c r="CQ478" s="28"/>
      <c r="CR478" s="28"/>
      <c r="CS478" s="28"/>
      <c r="CT478" s="28"/>
      <c r="CU478" s="28"/>
      <c r="CV478" s="28"/>
      <c r="CW478" s="28"/>
      <c r="CX478" s="28"/>
      <c r="CY478" s="28"/>
      <c r="CZ478" s="28"/>
      <c r="DA478" s="28"/>
      <c r="DB478" s="28"/>
      <c r="DC478" s="28"/>
      <c r="DD478" s="28"/>
      <c r="DE478" s="28"/>
      <c r="DF478" s="28"/>
      <c r="DG478" s="28"/>
      <c r="DH478" s="28"/>
      <c r="DI478" s="28"/>
      <c r="DJ478" s="28"/>
      <c r="DK478" s="29"/>
      <c r="DL478" s="29"/>
      <c r="DM478" s="29"/>
      <c r="DN478" s="29"/>
      <c r="DO478" s="29"/>
      <c r="DP478" s="29"/>
      <c r="DQ478" s="29"/>
      <c r="DR478" s="29"/>
      <c r="DS478" s="22"/>
      <c r="DT478" s="22"/>
      <c r="DU478" s="22"/>
      <c r="DV478" s="22"/>
    </row>
    <row r="479" spans="61:126" x14ac:dyDescent="0.25">
      <c r="BI479" s="22"/>
      <c r="BJ479" s="22"/>
      <c r="BK479" s="22"/>
      <c r="BL479" s="22"/>
      <c r="BM479" s="66"/>
      <c r="BN479" s="66"/>
      <c r="BO479" s="23"/>
      <c r="BP479" s="23"/>
      <c r="BQ479" s="23"/>
      <c r="BR479" s="24"/>
      <c r="BS479" s="24"/>
      <c r="BT479" s="68"/>
      <c r="BU479" s="68"/>
      <c r="BV479" s="25"/>
      <c r="BW479" s="26"/>
      <c r="BX479" s="27"/>
      <c r="BY479" s="28"/>
      <c r="BZ479" s="28"/>
      <c r="CA479" s="28"/>
      <c r="CB479" s="28"/>
      <c r="CC479" s="28"/>
      <c r="CD479" s="28"/>
      <c r="CE479" s="28"/>
      <c r="CF479" s="28"/>
      <c r="CG479" s="28"/>
      <c r="CH479" s="28"/>
      <c r="CI479" s="28"/>
      <c r="CJ479" s="28"/>
      <c r="CK479" s="28"/>
      <c r="CL479" s="28"/>
      <c r="CM479" s="28"/>
      <c r="CN479" s="28"/>
      <c r="CO479" s="28"/>
      <c r="CP479" s="28"/>
      <c r="CQ479" s="28"/>
      <c r="CR479" s="28"/>
      <c r="CS479" s="28"/>
      <c r="CT479" s="28"/>
      <c r="CU479" s="28"/>
      <c r="CV479" s="28"/>
      <c r="CW479" s="28"/>
      <c r="CX479" s="28"/>
      <c r="CY479" s="28"/>
      <c r="CZ479" s="28"/>
      <c r="DA479" s="28"/>
      <c r="DB479" s="28"/>
      <c r="DC479" s="28"/>
      <c r="DD479" s="28"/>
      <c r="DE479" s="28"/>
      <c r="DF479" s="28"/>
      <c r="DG479" s="28"/>
      <c r="DH479" s="28"/>
      <c r="DI479" s="28"/>
      <c r="DJ479" s="28"/>
      <c r="DK479" s="29"/>
      <c r="DL479" s="29"/>
      <c r="DM479" s="29"/>
      <c r="DN479" s="29"/>
      <c r="DO479" s="29"/>
      <c r="DP479" s="29"/>
      <c r="DQ479" s="29"/>
      <c r="DR479" s="29"/>
      <c r="DS479" s="22"/>
      <c r="DT479" s="22"/>
      <c r="DU479" s="22"/>
      <c r="DV479" s="22"/>
    </row>
    <row r="480" spans="61:126" x14ac:dyDescent="0.25">
      <c r="BI480" s="22"/>
      <c r="BJ480" s="22"/>
      <c r="BK480" s="22"/>
      <c r="BL480" s="22"/>
      <c r="BM480" s="66"/>
      <c r="BN480" s="66"/>
      <c r="BO480" s="23"/>
      <c r="BP480" s="23"/>
      <c r="BQ480" s="23"/>
      <c r="BR480" s="24"/>
      <c r="BS480" s="24"/>
      <c r="BT480" s="68"/>
      <c r="BU480" s="68"/>
      <c r="BV480" s="25"/>
      <c r="BW480" s="26"/>
      <c r="BX480" s="27"/>
      <c r="BY480" s="28"/>
      <c r="BZ480" s="28"/>
      <c r="CA480" s="28"/>
      <c r="CB480" s="28"/>
      <c r="CC480" s="28"/>
      <c r="CD480" s="28"/>
      <c r="CE480" s="28"/>
      <c r="CF480" s="28"/>
      <c r="CG480" s="28"/>
      <c r="CH480" s="28"/>
      <c r="CI480" s="28"/>
      <c r="CJ480" s="28"/>
      <c r="CK480" s="28"/>
      <c r="CL480" s="28"/>
      <c r="CM480" s="28"/>
      <c r="CN480" s="28"/>
      <c r="CO480" s="28"/>
      <c r="CP480" s="28"/>
      <c r="CQ480" s="28"/>
      <c r="CR480" s="28"/>
      <c r="CS480" s="28"/>
      <c r="CT480" s="28"/>
      <c r="CU480" s="28"/>
      <c r="CV480" s="28"/>
      <c r="CW480" s="28"/>
      <c r="CX480" s="28"/>
      <c r="CY480" s="28"/>
      <c r="CZ480" s="28"/>
      <c r="DA480" s="28"/>
      <c r="DB480" s="28"/>
      <c r="DC480" s="28"/>
      <c r="DD480" s="28"/>
      <c r="DE480" s="28"/>
      <c r="DF480" s="28"/>
      <c r="DG480" s="28"/>
      <c r="DH480" s="28"/>
      <c r="DI480" s="28"/>
      <c r="DJ480" s="28"/>
      <c r="DK480" s="29"/>
      <c r="DL480" s="29"/>
      <c r="DM480" s="29"/>
      <c r="DN480" s="29"/>
      <c r="DO480" s="29"/>
      <c r="DP480" s="29"/>
      <c r="DQ480" s="29"/>
      <c r="DR480" s="29"/>
      <c r="DS480" s="22"/>
      <c r="DT480" s="22"/>
      <c r="DU480" s="22"/>
      <c r="DV480" s="22"/>
    </row>
    <row r="481" spans="61:126" x14ac:dyDescent="0.25">
      <c r="BI481" s="22"/>
      <c r="BJ481" s="22"/>
      <c r="BK481" s="22"/>
      <c r="BL481" s="22"/>
      <c r="BM481" s="66"/>
      <c r="BN481" s="66"/>
      <c r="BO481" s="23"/>
      <c r="BP481" s="23"/>
      <c r="BQ481" s="23"/>
      <c r="BR481" s="24"/>
      <c r="BS481" s="24"/>
      <c r="BT481" s="68"/>
      <c r="BU481" s="68"/>
      <c r="BV481" s="25"/>
      <c r="BW481" s="26"/>
      <c r="BX481" s="27"/>
      <c r="BY481" s="28"/>
      <c r="BZ481" s="28"/>
      <c r="CA481" s="28"/>
      <c r="CB481" s="28"/>
      <c r="CC481" s="28"/>
      <c r="CD481" s="28"/>
      <c r="CE481" s="28"/>
      <c r="CF481" s="28"/>
      <c r="CG481" s="28"/>
      <c r="CH481" s="28"/>
      <c r="CI481" s="28"/>
      <c r="CJ481" s="28"/>
      <c r="CK481" s="28"/>
      <c r="CL481" s="28"/>
      <c r="CM481" s="28"/>
      <c r="CN481" s="28"/>
      <c r="CO481" s="28"/>
      <c r="CP481" s="28"/>
      <c r="CQ481" s="28"/>
      <c r="CR481" s="28"/>
      <c r="CS481" s="28"/>
      <c r="CT481" s="28"/>
      <c r="CU481" s="28"/>
      <c r="CV481" s="28"/>
      <c r="CW481" s="28"/>
      <c r="CX481" s="28"/>
      <c r="CY481" s="28"/>
      <c r="CZ481" s="28"/>
      <c r="DA481" s="28"/>
      <c r="DB481" s="28"/>
      <c r="DC481" s="28"/>
      <c r="DD481" s="28"/>
      <c r="DE481" s="28"/>
      <c r="DF481" s="28"/>
      <c r="DG481" s="28"/>
      <c r="DH481" s="28"/>
      <c r="DI481" s="28"/>
      <c r="DJ481" s="28"/>
      <c r="DK481" s="29"/>
      <c r="DL481" s="29"/>
      <c r="DM481" s="29"/>
      <c r="DN481" s="29"/>
      <c r="DO481" s="29"/>
      <c r="DP481" s="29"/>
      <c r="DQ481" s="29"/>
      <c r="DR481" s="29"/>
      <c r="DS481" s="22"/>
      <c r="DT481" s="22"/>
      <c r="DU481" s="22"/>
      <c r="DV481" s="22"/>
    </row>
    <row r="482" spans="61:126" x14ac:dyDescent="0.25">
      <c r="BI482" s="22"/>
      <c r="BJ482" s="22"/>
      <c r="BK482" s="22"/>
      <c r="BL482" s="22"/>
      <c r="BM482" s="66"/>
      <c r="BN482" s="66"/>
      <c r="BO482" s="23"/>
      <c r="BP482" s="23"/>
      <c r="BQ482" s="23"/>
      <c r="BR482" s="24"/>
      <c r="BS482" s="24"/>
      <c r="BT482" s="68"/>
      <c r="BU482" s="68"/>
      <c r="BV482" s="25"/>
      <c r="BW482" s="26"/>
      <c r="BX482" s="27"/>
      <c r="BY482" s="28"/>
      <c r="BZ482" s="28"/>
      <c r="CA482" s="28"/>
      <c r="CB482" s="28"/>
      <c r="CC482" s="28"/>
      <c r="CD482" s="28"/>
      <c r="CE482" s="28"/>
      <c r="CF482" s="28"/>
      <c r="CG482" s="28"/>
      <c r="CH482" s="28"/>
      <c r="CI482" s="28"/>
      <c r="CJ482" s="28"/>
      <c r="CK482" s="28"/>
      <c r="CL482" s="28"/>
      <c r="CM482" s="28"/>
      <c r="CN482" s="28"/>
      <c r="CO482" s="28"/>
      <c r="CP482" s="28"/>
      <c r="CQ482" s="28"/>
      <c r="CR482" s="28"/>
      <c r="CS482" s="28"/>
      <c r="CT482" s="28"/>
      <c r="CU482" s="28"/>
      <c r="CV482" s="28"/>
      <c r="CW482" s="28"/>
      <c r="CX482" s="28"/>
      <c r="CY482" s="28"/>
      <c r="CZ482" s="28"/>
      <c r="DA482" s="28"/>
      <c r="DB482" s="28"/>
      <c r="DC482" s="28"/>
      <c r="DD482" s="28"/>
      <c r="DE482" s="28"/>
      <c r="DF482" s="28"/>
      <c r="DG482" s="28"/>
      <c r="DH482" s="28"/>
      <c r="DI482" s="28"/>
      <c r="DJ482" s="28"/>
      <c r="DK482" s="29"/>
      <c r="DL482" s="29"/>
      <c r="DM482" s="29"/>
      <c r="DN482" s="29"/>
      <c r="DO482" s="29"/>
      <c r="DP482" s="29"/>
      <c r="DQ482" s="29"/>
      <c r="DR482" s="29"/>
      <c r="DS482" s="22"/>
      <c r="DT482" s="22"/>
      <c r="DU482" s="22"/>
      <c r="DV482" s="22"/>
    </row>
    <row r="483" spans="61:126" x14ac:dyDescent="0.25">
      <c r="BI483" s="22"/>
      <c r="BJ483" s="22"/>
      <c r="BK483" s="22"/>
      <c r="BL483" s="22"/>
      <c r="BM483" s="66"/>
      <c r="BN483" s="66"/>
      <c r="BO483" s="23"/>
      <c r="BP483" s="23"/>
      <c r="BQ483" s="23"/>
      <c r="BR483" s="24"/>
      <c r="BS483" s="24"/>
      <c r="BT483" s="68"/>
      <c r="BU483" s="68"/>
      <c r="BV483" s="25"/>
      <c r="BW483" s="26"/>
      <c r="BX483" s="27"/>
      <c r="BY483" s="28"/>
      <c r="BZ483" s="28"/>
      <c r="CA483" s="28"/>
      <c r="CB483" s="28"/>
      <c r="CC483" s="28"/>
      <c r="CD483" s="28"/>
      <c r="CE483" s="28"/>
      <c r="CF483" s="28"/>
      <c r="CG483" s="28"/>
      <c r="CH483" s="28"/>
      <c r="CI483" s="28"/>
      <c r="CJ483" s="28"/>
      <c r="CK483" s="28"/>
      <c r="CL483" s="28"/>
      <c r="CM483" s="28"/>
      <c r="CN483" s="28"/>
      <c r="CO483" s="28"/>
      <c r="CP483" s="28"/>
      <c r="CQ483" s="28"/>
      <c r="CR483" s="28"/>
      <c r="CS483" s="28"/>
      <c r="CT483" s="28"/>
      <c r="CU483" s="28"/>
      <c r="CV483" s="28"/>
      <c r="CW483" s="28"/>
      <c r="CX483" s="28"/>
      <c r="CY483" s="28"/>
      <c r="CZ483" s="28"/>
      <c r="DA483" s="28"/>
      <c r="DB483" s="28"/>
      <c r="DC483" s="28"/>
      <c r="DD483" s="28"/>
      <c r="DE483" s="28"/>
      <c r="DF483" s="28"/>
      <c r="DG483" s="28"/>
      <c r="DH483" s="28"/>
      <c r="DI483" s="28"/>
      <c r="DJ483" s="28"/>
      <c r="DK483" s="29"/>
      <c r="DL483" s="29"/>
      <c r="DM483" s="29"/>
      <c r="DN483" s="29"/>
      <c r="DO483" s="29"/>
      <c r="DP483" s="29"/>
      <c r="DQ483" s="29"/>
      <c r="DR483" s="29"/>
      <c r="DS483" s="22"/>
      <c r="DT483" s="22"/>
      <c r="DU483" s="22"/>
      <c r="DV483" s="22"/>
    </row>
    <row r="484" spans="61:126" x14ac:dyDescent="0.25">
      <c r="BI484" s="22"/>
      <c r="BJ484" s="22"/>
      <c r="BK484" s="22"/>
      <c r="BL484" s="22"/>
      <c r="BM484" s="66"/>
      <c r="BN484" s="66"/>
      <c r="BO484" s="23"/>
      <c r="BP484" s="23"/>
      <c r="BQ484" s="23"/>
      <c r="BR484" s="24"/>
      <c r="BS484" s="24"/>
      <c r="BT484" s="68"/>
      <c r="BU484" s="68"/>
      <c r="BV484" s="25"/>
      <c r="BW484" s="26"/>
      <c r="BX484" s="27"/>
      <c r="BY484" s="28"/>
      <c r="BZ484" s="28"/>
      <c r="CA484" s="28"/>
      <c r="CB484" s="28"/>
      <c r="CC484" s="28"/>
      <c r="CD484" s="28"/>
      <c r="CE484" s="28"/>
      <c r="CF484" s="28"/>
      <c r="CG484" s="28"/>
      <c r="CH484" s="28"/>
      <c r="CI484" s="28"/>
      <c r="CJ484" s="28"/>
      <c r="CK484" s="28"/>
      <c r="CL484" s="28"/>
      <c r="CM484" s="28"/>
      <c r="CN484" s="28"/>
      <c r="CO484" s="28"/>
      <c r="CP484" s="28"/>
      <c r="CQ484" s="28"/>
      <c r="CR484" s="28"/>
      <c r="CS484" s="28"/>
      <c r="CT484" s="28"/>
      <c r="CU484" s="28"/>
      <c r="CV484" s="28"/>
      <c r="CW484" s="28"/>
      <c r="CX484" s="28"/>
      <c r="CY484" s="28"/>
      <c r="CZ484" s="28"/>
      <c r="DA484" s="28"/>
      <c r="DB484" s="28"/>
      <c r="DC484" s="28"/>
      <c r="DD484" s="28"/>
      <c r="DE484" s="28"/>
      <c r="DF484" s="28"/>
      <c r="DG484" s="28"/>
      <c r="DH484" s="28"/>
      <c r="DI484" s="28"/>
      <c r="DJ484" s="28"/>
      <c r="DK484" s="29"/>
      <c r="DL484" s="29"/>
      <c r="DM484" s="29"/>
      <c r="DN484" s="29"/>
      <c r="DO484" s="29"/>
      <c r="DP484" s="29"/>
      <c r="DQ484" s="29"/>
      <c r="DR484" s="29"/>
      <c r="DS484" s="22"/>
      <c r="DT484" s="22"/>
      <c r="DU484" s="22"/>
      <c r="DV484" s="22"/>
    </row>
    <row r="485" spans="61:126" x14ac:dyDescent="0.25">
      <c r="BI485" s="22"/>
      <c r="BJ485" s="22"/>
      <c r="BK485" s="22"/>
      <c r="BL485" s="22"/>
      <c r="BM485" s="66"/>
      <c r="BN485" s="66"/>
      <c r="BO485" s="23"/>
      <c r="BP485" s="23"/>
      <c r="BQ485" s="23"/>
      <c r="BR485" s="24"/>
      <c r="BS485" s="24"/>
      <c r="BT485" s="68"/>
      <c r="BU485" s="68"/>
      <c r="BV485" s="25"/>
      <c r="BW485" s="26"/>
      <c r="BX485" s="27"/>
      <c r="BY485" s="28"/>
      <c r="BZ485" s="28"/>
      <c r="CA485" s="28"/>
      <c r="CB485" s="28"/>
      <c r="CC485" s="28"/>
      <c r="CD485" s="28"/>
      <c r="CE485" s="28"/>
      <c r="CF485" s="28"/>
      <c r="CG485" s="28"/>
      <c r="CH485" s="28"/>
      <c r="CI485" s="28"/>
      <c r="CJ485" s="28"/>
      <c r="CK485" s="28"/>
      <c r="CL485" s="28"/>
      <c r="CM485" s="28"/>
      <c r="CN485" s="28"/>
      <c r="CO485" s="28"/>
      <c r="CP485" s="28"/>
      <c r="CQ485" s="28"/>
      <c r="CR485" s="28"/>
      <c r="CS485" s="28"/>
      <c r="CT485" s="28"/>
      <c r="CU485" s="28"/>
      <c r="CV485" s="28"/>
      <c r="CW485" s="28"/>
      <c r="CX485" s="28"/>
      <c r="CY485" s="28"/>
      <c r="CZ485" s="28"/>
      <c r="DA485" s="28"/>
      <c r="DB485" s="28"/>
      <c r="DC485" s="28"/>
      <c r="DD485" s="28"/>
      <c r="DE485" s="28"/>
      <c r="DF485" s="28"/>
      <c r="DG485" s="28"/>
      <c r="DH485" s="28"/>
      <c r="DI485" s="28"/>
      <c r="DJ485" s="28"/>
      <c r="DK485" s="29"/>
      <c r="DL485" s="29"/>
      <c r="DM485" s="29"/>
      <c r="DN485" s="29"/>
      <c r="DO485" s="29"/>
      <c r="DP485" s="29"/>
      <c r="DQ485" s="29"/>
      <c r="DR485" s="29"/>
      <c r="DS485" s="22"/>
      <c r="DT485" s="22"/>
      <c r="DU485" s="22"/>
      <c r="DV485" s="22"/>
    </row>
    <row r="486" spans="61:126" x14ac:dyDescent="0.25">
      <c r="BI486" s="22"/>
      <c r="BJ486" s="22"/>
      <c r="BK486" s="22"/>
      <c r="BL486" s="22"/>
      <c r="BM486" s="66"/>
      <c r="BN486" s="66"/>
      <c r="BO486" s="23"/>
      <c r="BP486" s="23"/>
      <c r="BQ486" s="23"/>
      <c r="BR486" s="24"/>
      <c r="BS486" s="24"/>
      <c r="BT486" s="68"/>
      <c r="BU486" s="68"/>
      <c r="BV486" s="25"/>
      <c r="BW486" s="26"/>
      <c r="BX486" s="27"/>
      <c r="BY486" s="28"/>
      <c r="BZ486" s="28"/>
      <c r="CA486" s="28"/>
      <c r="CB486" s="28"/>
      <c r="CC486" s="28"/>
      <c r="CD486" s="28"/>
      <c r="CE486" s="28"/>
      <c r="CF486" s="28"/>
      <c r="CG486" s="28"/>
      <c r="CH486" s="28"/>
      <c r="CI486" s="28"/>
      <c r="CJ486" s="28"/>
      <c r="CK486" s="28"/>
      <c r="CL486" s="28"/>
      <c r="CM486" s="28"/>
      <c r="CN486" s="28"/>
      <c r="CO486" s="28"/>
      <c r="CP486" s="28"/>
      <c r="CQ486" s="28"/>
      <c r="CR486" s="28"/>
      <c r="CS486" s="28"/>
      <c r="CT486" s="28"/>
      <c r="CU486" s="28"/>
      <c r="CV486" s="28"/>
      <c r="CW486" s="28"/>
      <c r="CX486" s="28"/>
      <c r="CY486" s="28"/>
      <c r="CZ486" s="28"/>
      <c r="DA486" s="28"/>
      <c r="DB486" s="28"/>
      <c r="DC486" s="28"/>
      <c r="DD486" s="28"/>
      <c r="DE486" s="28"/>
      <c r="DF486" s="28"/>
      <c r="DG486" s="28"/>
      <c r="DH486" s="28"/>
      <c r="DI486" s="28"/>
      <c r="DJ486" s="28"/>
      <c r="DK486" s="29"/>
      <c r="DL486" s="29"/>
      <c r="DM486" s="29"/>
      <c r="DN486" s="29"/>
      <c r="DO486" s="29"/>
      <c r="DP486" s="29"/>
      <c r="DQ486" s="29"/>
      <c r="DR486" s="29"/>
      <c r="DS486" s="22"/>
      <c r="DT486" s="22"/>
      <c r="DU486" s="22"/>
      <c r="DV486" s="22"/>
    </row>
    <row r="487" spans="61:126" x14ac:dyDescent="0.25">
      <c r="BI487" s="22"/>
      <c r="BJ487" s="22"/>
      <c r="BK487" s="22"/>
      <c r="BL487" s="22"/>
      <c r="BM487" s="66"/>
      <c r="BN487" s="66"/>
      <c r="BO487" s="23"/>
      <c r="BP487" s="23"/>
      <c r="BQ487" s="23"/>
      <c r="BR487" s="24"/>
      <c r="BS487" s="24"/>
      <c r="BT487" s="68"/>
      <c r="BU487" s="68"/>
      <c r="BV487" s="25"/>
      <c r="BW487" s="26"/>
      <c r="BX487" s="27"/>
      <c r="BY487" s="28"/>
      <c r="BZ487" s="28"/>
      <c r="CA487" s="28"/>
      <c r="CB487" s="28"/>
      <c r="CC487" s="28"/>
      <c r="CD487" s="28"/>
      <c r="CE487" s="28"/>
      <c r="CF487" s="28"/>
      <c r="CG487" s="28"/>
      <c r="CH487" s="28"/>
      <c r="CI487" s="28"/>
      <c r="CJ487" s="28"/>
      <c r="CK487" s="28"/>
      <c r="CL487" s="28"/>
      <c r="CM487" s="28"/>
      <c r="CN487" s="28"/>
      <c r="CO487" s="28"/>
      <c r="CP487" s="28"/>
      <c r="CQ487" s="28"/>
      <c r="CR487" s="28"/>
      <c r="CS487" s="28"/>
      <c r="CT487" s="28"/>
      <c r="CU487" s="28"/>
      <c r="CV487" s="28"/>
      <c r="CW487" s="28"/>
      <c r="CX487" s="28"/>
      <c r="CY487" s="28"/>
      <c r="CZ487" s="28"/>
      <c r="DA487" s="28"/>
      <c r="DB487" s="28"/>
      <c r="DC487" s="28"/>
      <c r="DD487" s="28"/>
      <c r="DE487" s="28"/>
      <c r="DF487" s="28"/>
      <c r="DG487" s="28"/>
      <c r="DH487" s="28"/>
      <c r="DI487" s="28"/>
      <c r="DJ487" s="28"/>
      <c r="DK487" s="29"/>
      <c r="DL487" s="29"/>
      <c r="DM487" s="29"/>
      <c r="DN487" s="29"/>
      <c r="DO487" s="29"/>
      <c r="DP487" s="29"/>
      <c r="DQ487" s="29"/>
      <c r="DR487" s="29"/>
      <c r="DS487" s="22"/>
      <c r="DT487" s="22"/>
      <c r="DU487" s="22"/>
      <c r="DV487" s="22"/>
    </row>
    <row r="488" spans="61:126" x14ac:dyDescent="0.25">
      <c r="BI488" s="22"/>
      <c r="BJ488" s="22"/>
      <c r="BK488" s="22"/>
      <c r="BL488" s="22"/>
      <c r="BM488" s="66"/>
      <c r="BN488" s="66"/>
      <c r="BO488" s="23"/>
      <c r="BP488" s="23"/>
      <c r="BQ488" s="23"/>
      <c r="BR488" s="24"/>
      <c r="BS488" s="24"/>
      <c r="BT488" s="68"/>
      <c r="BU488" s="68"/>
      <c r="BV488" s="25"/>
      <c r="BW488" s="26"/>
      <c r="BX488" s="27"/>
      <c r="BY488" s="28"/>
      <c r="BZ488" s="28"/>
      <c r="CA488" s="28"/>
      <c r="CB488" s="28"/>
      <c r="CC488" s="28"/>
      <c r="CD488" s="28"/>
      <c r="CE488" s="28"/>
      <c r="CF488" s="28"/>
      <c r="CG488" s="28"/>
      <c r="CH488" s="28"/>
      <c r="CI488" s="28"/>
      <c r="CJ488" s="28"/>
      <c r="CK488" s="28"/>
      <c r="CL488" s="28"/>
      <c r="CM488" s="28"/>
      <c r="CN488" s="28"/>
      <c r="CO488" s="28"/>
      <c r="CP488" s="28"/>
      <c r="CQ488" s="28"/>
      <c r="CR488" s="28"/>
      <c r="CS488" s="28"/>
      <c r="CT488" s="28"/>
      <c r="CU488" s="28"/>
      <c r="CV488" s="28"/>
      <c r="CW488" s="28"/>
      <c r="CX488" s="28"/>
      <c r="CY488" s="28"/>
      <c r="CZ488" s="28"/>
      <c r="DA488" s="28"/>
      <c r="DB488" s="28"/>
      <c r="DC488" s="28"/>
      <c r="DD488" s="28"/>
      <c r="DE488" s="28"/>
      <c r="DF488" s="28"/>
      <c r="DG488" s="28"/>
      <c r="DH488" s="28"/>
      <c r="DI488" s="28"/>
      <c r="DJ488" s="28"/>
      <c r="DK488" s="29"/>
      <c r="DL488" s="29"/>
      <c r="DM488" s="29"/>
      <c r="DN488" s="29"/>
      <c r="DO488" s="29"/>
      <c r="DP488" s="29"/>
      <c r="DQ488" s="29"/>
      <c r="DR488" s="29"/>
      <c r="DS488" s="22"/>
      <c r="DT488" s="22"/>
      <c r="DU488" s="22"/>
      <c r="DV488" s="22"/>
    </row>
    <row r="489" spans="61:126" x14ac:dyDescent="0.25">
      <c r="BI489" s="22"/>
      <c r="BJ489" s="22"/>
      <c r="BK489" s="22"/>
      <c r="BL489" s="22"/>
      <c r="BM489" s="66"/>
      <c r="BN489" s="66"/>
      <c r="BO489" s="23"/>
      <c r="BP489" s="23"/>
      <c r="BQ489" s="23"/>
      <c r="BR489" s="24"/>
      <c r="BS489" s="24"/>
      <c r="BT489" s="68"/>
      <c r="BU489" s="68"/>
      <c r="BV489" s="25"/>
      <c r="BW489" s="26"/>
      <c r="BX489" s="27"/>
      <c r="BY489" s="28"/>
      <c r="BZ489" s="28"/>
      <c r="CA489" s="28"/>
      <c r="CB489" s="28"/>
      <c r="CC489" s="28"/>
      <c r="CD489" s="28"/>
      <c r="CE489" s="28"/>
      <c r="CF489" s="28"/>
      <c r="CG489" s="28"/>
      <c r="CH489" s="28"/>
      <c r="CI489" s="28"/>
      <c r="CJ489" s="28"/>
      <c r="CK489" s="28"/>
      <c r="CL489" s="28"/>
      <c r="CM489" s="28"/>
      <c r="CN489" s="28"/>
      <c r="CO489" s="28"/>
      <c r="CP489" s="28"/>
      <c r="CQ489" s="28"/>
      <c r="CR489" s="28"/>
      <c r="CS489" s="28"/>
      <c r="CT489" s="28"/>
      <c r="CU489" s="28"/>
      <c r="CV489" s="28"/>
      <c r="CW489" s="28"/>
      <c r="CX489" s="28"/>
      <c r="CY489" s="28"/>
      <c r="CZ489" s="28"/>
      <c r="DA489" s="28"/>
      <c r="DB489" s="28"/>
      <c r="DC489" s="28"/>
      <c r="DD489" s="28"/>
      <c r="DE489" s="28"/>
      <c r="DF489" s="28"/>
      <c r="DG489" s="28"/>
      <c r="DH489" s="28"/>
      <c r="DI489" s="28"/>
      <c r="DJ489" s="28"/>
      <c r="DK489" s="29"/>
      <c r="DL489" s="29"/>
      <c r="DM489" s="29"/>
      <c r="DN489" s="29"/>
      <c r="DO489" s="29"/>
      <c r="DP489" s="29"/>
      <c r="DQ489" s="29"/>
      <c r="DR489" s="29"/>
      <c r="DS489" s="22"/>
      <c r="DT489" s="22"/>
      <c r="DU489" s="22"/>
      <c r="DV489" s="22"/>
    </row>
    <row r="490" spans="61:126" x14ac:dyDescent="0.25">
      <c r="BI490" s="22"/>
      <c r="BJ490" s="22"/>
      <c r="BK490" s="22"/>
      <c r="BL490" s="22"/>
      <c r="BM490" s="66"/>
      <c r="BN490" s="66"/>
      <c r="BO490" s="23"/>
      <c r="BP490" s="23"/>
      <c r="BQ490" s="23"/>
      <c r="BR490" s="24"/>
      <c r="BS490" s="24"/>
      <c r="BT490" s="68"/>
      <c r="BU490" s="68"/>
      <c r="BV490" s="25"/>
      <c r="BW490" s="26"/>
      <c r="BX490" s="27"/>
      <c r="BY490" s="28"/>
      <c r="BZ490" s="28"/>
      <c r="CA490" s="28"/>
      <c r="CB490" s="28"/>
      <c r="CC490" s="28"/>
      <c r="CD490" s="28"/>
      <c r="CE490" s="28"/>
      <c r="CF490" s="28"/>
      <c r="CG490" s="28"/>
      <c r="CH490" s="28"/>
      <c r="CI490" s="28"/>
      <c r="CJ490" s="28"/>
      <c r="CK490" s="28"/>
      <c r="CL490" s="28"/>
      <c r="CM490" s="28"/>
      <c r="CN490" s="28"/>
      <c r="CO490" s="28"/>
      <c r="CP490" s="28"/>
      <c r="CQ490" s="28"/>
      <c r="CR490" s="28"/>
      <c r="CS490" s="28"/>
      <c r="CT490" s="28"/>
      <c r="CU490" s="28"/>
      <c r="CV490" s="28"/>
      <c r="CW490" s="28"/>
      <c r="CX490" s="28"/>
      <c r="CY490" s="28"/>
      <c r="CZ490" s="28"/>
      <c r="DA490" s="28"/>
      <c r="DB490" s="28"/>
      <c r="DC490" s="28"/>
      <c r="DD490" s="28"/>
      <c r="DE490" s="28"/>
      <c r="DF490" s="28"/>
      <c r="DG490" s="28"/>
      <c r="DH490" s="28"/>
      <c r="DI490" s="28"/>
      <c r="DJ490" s="28"/>
      <c r="DK490" s="29"/>
      <c r="DL490" s="29"/>
      <c r="DM490" s="29"/>
      <c r="DN490" s="29"/>
      <c r="DO490" s="29"/>
      <c r="DP490" s="29"/>
      <c r="DQ490" s="29"/>
      <c r="DR490" s="29"/>
      <c r="DS490" s="22"/>
      <c r="DT490" s="22"/>
      <c r="DU490" s="22"/>
      <c r="DV490" s="22"/>
    </row>
    <row r="491" spans="61:126" x14ac:dyDescent="0.25">
      <c r="BI491" s="22"/>
      <c r="BJ491" s="22"/>
      <c r="BK491" s="22"/>
      <c r="BL491" s="22"/>
      <c r="BM491" s="66"/>
      <c r="BN491" s="66"/>
      <c r="BO491" s="23"/>
      <c r="BP491" s="23"/>
      <c r="BQ491" s="23"/>
      <c r="BR491" s="24"/>
      <c r="BS491" s="24"/>
      <c r="BT491" s="68"/>
      <c r="BU491" s="68"/>
      <c r="BV491" s="25"/>
      <c r="BW491" s="26"/>
      <c r="BX491" s="27"/>
      <c r="BY491" s="28"/>
      <c r="BZ491" s="28"/>
      <c r="CA491" s="28"/>
      <c r="CB491" s="28"/>
      <c r="CC491" s="28"/>
      <c r="CD491" s="28"/>
      <c r="CE491" s="28"/>
      <c r="CF491" s="28"/>
      <c r="CG491" s="28"/>
      <c r="CH491" s="28"/>
      <c r="CI491" s="28"/>
      <c r="CJ491" s="28"/>
      <c r="CK491" s="28"/>
      <c r="CL491" s="28"/>
      <c r="CM491" s="28"/>
      <c r="CN491" s="28"/>
      <c r="CO491" s="28"/>
      <c r="CP491" s="28"/>
      <c r="CQ491" s="28"/>
      <c r="CR491" s="28"/>
      <c r="CS491" s="28"/>
      <c r="CT491" s="28"/>
      <c r="CU491" s="28"/>
      <c r="CV491" s="28"/>
      <c r="CW491" s="28"/>
      <c r="CX491" s="28"/>
      <c r="CY491" s="28"/>
      <c r="CZ491" s="28"/>
      <c r="DA491" s="28"/>
      <c r="DB491" s="28"/>
      <c r="DC491" s="28"/>
      <c r="DD491" s="28"/>
      <c r="DE491" s="28"/>
      <c r="DF491" s="28"/>
      <c r="DG491" s="28"/>
      <c r="DH491" s="28"/>
      <c r="DI491" s="28"/>
      <c r="DJ491" s="28"/>
      <c r="DK491" s="29"/>
      <c r="DL491" s="29"/>
      <c r="DM491" s="29"/>
      <c r="DN491" s="29"/>
      <c r="DO491" s="29"/>
      <c r="DP491" s="29"/>
      <c r="DQ491" s="29"/>
      <c r="DR491" s="29"/>
      <c r="DS491" s="22"/>
      <c r="DT491" s="22"/>
      <c r="DU491" s="22"/>
      <c r="DV491" s="22"/>
    </row>
    <row r="492" spans="61:126" x14ac:dyDescent="0.25">
      <c r="BI492" s="22"/>
      <c r="BJ492" s="22"/>
      <c r="BK492" s="22"/>
      <c r="BL492" s="22"/>
      <c r="BM492" s="66"/>
      <c r="BN492" s="66"/>
      <c r="BO492" s="23"/>
      <c r="BP492" s="23"/>
      <c r="BQ492" s="23"/>
      <c r="BR492" s="24"/>
      <c r="BS492" s="24"/>
      <c r="BT492" s="68"/>
      <c r="BU492" s="68"/>
      <c r="BV492" s="25"/>
      <c r="BW492" s="26"/>
      <c r="BX492" s="27"/>
      <c r="BY492" s="28"/>
      <c r="BZ492" s="28"/>
      <c r="CA492" s="28"/>
      <c r="CB492" s="28"/>
      <c r="CC492" s="28"/>
      <c r="CD492" s="28"/>
      <c r="CE492" s="28"/>
      <c r="CF492" s="28"/>
      <c r="CG492" s="28"/>
      <c r="CH492" s="28"/>
      <c r="CI492" s="28"/>
      <c r="CJ492" s="28"/>
      <c r="CK492" s="28"/>
      <c r="CL492" s="28"/>
      <c r="CM492" s="28"/>
      <c r="CN492" s="28"/>
      <c r="CO492" s="28"/>
      <c r="CP492" s="28"/>
      <c r="CQ492" s="28"/>
      <c r="CR492" s="28"/>
      <c r="CS492" s="28"/>
      <c r="CT492" s="28"/>
      <c r="CU492" s="28"/>
      <c r="CV492" s="28"/>
      <c r="CW492" s="28"/>
      <c r="CX492" s="28"/>
      <c r="CY492" s="28"/>
      <c r="CZ492" s="28"/>
      <c r="DA492" s="28"/>
      <c r="DB492" s="28"/>
      <c r="DC492" s="28"/>
      <c r="DD492" s="28"/>
      <c r="DE492" s="28"/>
      <c r="DF492" s="28"/>
      <c r="DG492" s="28"/>
      <c r="DH492" s="28"/>
      <c r="DI492" s="28"/>
      <c r="DJ492" s="28"/>
      <c r="DK492" s="29"/>
      <c r="DL492" s="29"/>
      <c r="DM492" s="29"/>
      <c r="DN492" s="29"/>
      <c r="DO492" s="29"/>
      <c r="DP492" s="29"/>
      <c r="DQ492" s="29"/>
      <c r="DR492" s="29"/>
      <c r="DS492" s="22"/>
      <c r="DT492" s="22"/>
      <c r="DU492" s="22"/>
      <c r="DV492" s="22"/>
    </row>
  </sheetData>
  <sortState xmlns:xlrd2="http://schemas.microsoft.com/office/spreadsheetml/2017/richdata2" ref="A44:BH63">
    <sortCondition ref="C44:C63"/>
    <sortCondition ref="J44:J63"/>
  </sortState>
  <pageMargins left="0.7" right="0.7" top="0.78749999999999998" bottom="0.78749999999999998" header="0.51180555555555496" footer="0.51180555555555496"/>
  <pageSetup paperSize="9" firstPageNumber="0"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FF"/>
  </sheetPr>
  <dimension ref="A1:AG111"/>
  <sheetViews>
    <sheetView zoomScale="80" zoomScaleNormal="80" workbookViewId="0">
      <pane xSplit="3" ySplit="3" topLeftCell="J4" activePane="bottomRight" state="frozen"/>
      <selection pane="topRight" activeCell="G1" sqref="G1"/>
      <selection pane="bottomLeft" activeCell="A58" sqref="A58"/>
      <selection pane="bottomRight" activeCell="AF35" sqref="AF35"/>
    </sheetView>
  </sheetViews>
  <sheetFormatPr defaultColWidth="9.140625" defaultRowHeight="15" x14ac:dyDescent="0.25"/>
  <cols>
    <col min="1" max="1" width="11.42578125"/>
    <col min="2" max="2" width="11.42578125" style="30"/>
    <col min="3" max="3" width="37" style="31"/>
    <col min="4" max="4" width="46.7109375" style="31"/>
    <col min="5" max="27" width="11.42578125" style="31"/>
    <col min="28" max="1025" width="11.42578125"/>
  </cols>
  <sheetData>
    <row r="1" spans="1:33" x14ac:dyDescent="0.25">
      <c r="B1" s="32"/>
      <c r="C1"/>
      <c r="D1"/>
      <c r="E1" s="20" t="s">
        <v>35</v>
      </c>
      <c r="F1" s="20" t="s">
        <v>36</v>
      </c>
      <c r="G1" s="20" t="s">
        <v>37</v>
      </c>
      <c r="H1" s="20" t="s">
        <v>38</v>
      </c>
      <c r="I1" s="20" t="s">
        <v>39</v>
      </c>
      <c r="J1" s="20" t="s">
        <v>40</v>
      </c>
      <c r="K1" s="20" t="s">
        <v>41</v>
      </c>
      <c r="L1" s="20" t="s">
        <v>42</v>
      </c>
      <c r="M1" s="20" t="s">
        <v>43</v>
      </c>
      <c r="N1" s="20" t="s">
        <v>44</v>
      </c>
      <c r="O1" s="20" t="s">
        <v>45</v>
      </c>
      <c r="P1" s="20" t="s">
        <v>46</v>
      </c>
      <c r="Q1" s="20" t="s">
        <v>47</v>
      </c>
      <c r="R1" s="20" t="s">
        <v>48</v>
      </c>
      <c r="S1" s="20" t="s">
        <v>49</v>
      </c>
      <c r="T1" s="20" t="s">
        <v>50</v>
      </c>
      <c r="U1" s="20" t="s">
        <v>51</v>
      </c>
      <c r="V1" s="20" t="s">
        <v>52</v>
      </c>
      <c r="W1" s="20" t="s">
        <v>53</v>
      </c>
      <c r="X1" s="20" t="s">
        <v>13</v>
      </c>
      <c r="Y1" s="20" t="s">
        <v>16</v>
      </c>
      <c r="Z1" s="20" t="s">
        <v>17</v>
      </c>
      <c r="AA1" s="20" t="s">
        <v>54</v>
      </c>
      <c r="AB1" t="s">
        <v>30</v>
      </c>
      <c r="AC1" t="s">
        <v>31</v>
      </c>
      <c r="AD1" t="s">
        <v>55</v>
      </c>
      <c r="AE1" t="s">
        <v>56</v>
      </c>
      <c r="AF1" t="s">
        <v>32</v>
      </c>
      <c r="AG1" t="s">
        <v>215</v>
      </c>
    </row>
    <row r="2" spans="1:33" x14ac:dyDescent="0.25">
      <c r="A2">
        <v>1</v>
      </c>
      <c r="B2" s="32">
        <v>2</v>
      </c>
      <c r="C2" s="33" t="s">
        <v>57</v>
      </c>
      <c r="D2">
        <v>4</v>
      </c>
      <c r="E2" s="20">
        <v>5</v>
      </c>
      <c r="F2" s="20">
        <v>6</v>
      </c>
      <c r="G2" s="20">
        <v>7</v>
      </c>
      <c r="H2" s="20">
        <v>8</v>
      </c>
      <c r="I2" s="20">
        <v>9</v>
      </c>
      <c r="J2" s="20">
        <v>10</v>
      </c>
      <c r="K2" s="20">
        <v>11</v>
      </c>
      <c r="L2" s="20">
        <v>12</v>
      </c>
      <c r="M2" s="20">
        <v>13</v>
      </c>
      <c r="N2" s="20">
        <v>14</v>
      </c>
      <c r="O2" s="20">
        <v>15</v>
      </c>
      <c r="P2" s="20">
        <v>16</v>
      </c>
      <c r="Q2" s="20">
        <v>17</v>
      </c>
      <c r="R2" s="20">
        <v>18</v>
      </c>
      <c r="S2" s="20">
        <v>19</v>
      </c>
      <c r="T2" s="20">
        <v>20</v>
      </c>
      <c r="U2" s="20">
        <v>21</v>
      </c>
      <c r="V2" s="20">
        <v>22</v>
      </c>
      <c r="W2" s="20">
        <v>23</v>
      </c>
      <c r="X2" s="20">
        <v>24</v>
      </c>
      <c r="Y2" s="20">
        <v>25</v>
      </c>
      <c r="Z2" s="20">
        <v>26</v>
      </c>
      <c r="AA2" s="20">
        <v>27</v>
      </c>
      <c r="AB2">
        <v>28</v>
      </c>
      <c r="AC2">
        <v>29</v>
      </c>
      <c r="AD2">
        <v>30</v>
      </c>
      <c r="AE2">
        <v>31</v>
      </c>
      <c r="AF2">
        <v>32</v>
      </c>
      <c r="AG2">
        <v>33</v>
      </c>
    </row>
    <row r="3" spans="1:33" s="7" customFormat="1" x14ac:dyDescent="0.25">
      <c r="A3" s="7" t="s">
        <v>58</v>
      </c>
      <c r="B3" s="34" t="s">
        <v>59</v>
      </c>
      <c r="C3" s="35" t="s">
        <v>60</v>
      </c>
      <c r="D3" s="36" t="s">
        <v>61</v>
      </c>
      <c r="E3" s="7" t="s">
        <v>62</v>
      </c>
      <c r="G3" s="7" t="s">
        <v>62</v>
      </c>
      <c r="I3" s="7" t="s">
        <v>62</v>
      </c>
      <c r="K3" s="7" t="s">
        <v>62</v>
      </c>
      <c r="AE3" s="7" t="s">
        <v>63</v>
      </c>
    </row>
    <row r="4" spans="1:33" s="15" customFormat="1" x14ac:dyDescent="0.25">
      <c r="A4" s="15">
        <v>0</v>
      </c>
      <c r="B4" s="34">
        <v>0</v>
      </c>
      <c r="C4" s="37" t="s">
        <v>64</v>
      </c>
      <c r="D4" s="37" t="s">
        <v>64</v>
      </c>
      <c r="E4" s="15">
        <v>0</v>
      </c>
      <c r="F4" s="15">
        <v>0</v>
      </c>
      <c r="G4" s="15">
        <v>0</v>
      </c>
      <c r="H4" s="15">
        <v>0</v>
      </c>
      <c r="I4" s="15">
        <v>0</v>
      </c>
      <c r="J4" s="15">
        <v>0</v>
      </c>
      <c r="K4" s="15">
        <v>0</v>
      </c>
      <c r="L4" s="15">
        <v>0</v>
      </c>
      <c r="M4" s="15">
        <v>0</v>
      </c>
      <c r="N4" s="15">
        <v>0</v>
      </c>
      <c r="O4" s="15">
        <v>0</v>
      </c>
      <c r="P4" s="15">
        <v>0</v>
      </c>
      <c r="Q4" s="15">
        <v>0</v>
      </c>
      <c r="R4" s="15">
        <v>0</v>
      </c>
      <c r="S4" s="15">
        <v>0</v>
      </c>
      <c r="T4" s="15">
        <v>0</v>
      </c>
      <c r="U4" s="15">
        <v>0</v>
      </c>
      <c r="V4" s="15">
        <v>0</v>
      </c>
      <c r="W4" s="15">
        <v>0</v>
      </c>
      <c r="X4" s="15">
        <v>0</v>
      </c>
      <c r="Y4" s="15">
        <v>0</v>
      </c>
      <c r="AA4" s="15">
        <v>0</v>
      </c>
      <c r="AB4" s="15">
        <v>0</v>
      </c>
      <c r="AC4" s="15">
        <v>0</v>
      </c>
      <c r="AD4" s="15">
        <v>0</v>
      </c>
      <c r="AE4" s="15">
        <v>0</v>
      </c>
    </row>
    <row r="5" spans="1:33" s="38" customFormat="1" x14ac:dyDescent="0.25">
      <c r="A5" s="38">
        <v>1001</v>
      </c>
      <c r="B5" s="34">
        <v>38</v>
      </c>
      <c r="C5" s="38" t="s">
        <v>65</v>
      </c>
      <c r="D5" s="38" t="s">
        <v>66</v>
      </c>
      <c r="E5" s="39">
        <v>0.86</v>
      </c>
      <c r="F5" s="39">
        <v>0.44500000000000001</v>
      </c>
      <c r="G5" s="39">
        <v>1.9800000000000002E-2</v>
      </c>
      <c r="H5" s="39">
        <v>1</v>
      </c>
      <c r="I5" s="39">
        <v>0.86</v>
      </c>
      <c r="J5" s="39">
        <v>0.46</v>
      </c>
      <c r="K5" s="39">
        <v>4.9500000000000004E-3</v>
      </c>
      <c r="L5" s="39">
        <v>0</v>
      </c>
      <c r="M5" s="39">
        <v>0</v>
      </c>
      <c r="N5" s="39">
        <v>0</v>
      </c>
      <c r="O5" s="39">
        <v>0</v>
      </c>
      <c r="P5" s="39">
        <v>0.2</v>
      </c>
      <c r="Q5" s="39">
        <v>0.86</v>
      </c>
      <c r="R5" s="39">
        <v>0.46</v>
      </c>
      <c r="S5" s="39">
        <v>4.9500000000000004E-3</v>
      </c>
      <c r="T5" s="39">
        <v>0.5</v>
      </c>
      <c r="U5" s="39">
        <v>1</v>
      </c>
      <c r="V5" s="39">
        <v>0.4</v>
      </c>
      <c r="W5" s="39">
        <v>8.8000000000000005E-3</v>
      </c>
      <c r="X5" s="39">
        <v>0</v>
      </c>
      <c r="Y5" s="39">
        <v>0</v>
      </c>
      <c r="Z5" s="39">
        <v>0</v>
      </c>
      <c r="AA5" s="39">
        <v>0.25</v>
      </c>
      <c r="AB5" s="38">
        <v>280</v>
      </c>
      <c r="AC5" s="38">
        <v>400</v>
      </c>
      <c r="AD5" s="38">
        <v>520</v>
      </c>
      <c r="AE5" s="38">
        <v>45</v>
      </c>
      <c r="AF5" s="38">
        <v>100</v>
      </c>
      <c r="AG5" s="38">
        <f>'HU-MOD-2-Parameters_FTLZ'!J$38</f>
        <v>30.047360486636386</v>
      </c>
    </row>
    <row r="6" spans="1:33" s="38" customFormat="1" x14ac:dyDescent="0.25">
      <c r="A6" s="38">
        <v>1002</v>
      </c>
      <c r="B6" s="34">
        <v>33</v>
      </c>
      <c r="C6" s="38" t="s">
        <v>67</v>
      </c>
      <c r="D6" s="38" t="s">
        <v>68</v>
      </c>
      <c r="E6" s="39">
        <v>0.86</v>
      </c>
      <c r="F6" s="39">
        <v>0.44500000000000001</v>
      </c>
      <c r="G6" s="39">
        <v>1.7999999999999999E-2</v>
      </c>
      <c r="H6" s="39">
        <v>1.2</v>
      </c>
      <c r="I6" s="39">
        <v>0.86</v>
      </c>
      <c r="J6" s="39">
        <v>0.46</v>
      </c>
      <c r="K6" s="39">
        <v>4.4999999999999997E-3</v>
      </c>
      <c r="L6" s="39">
        <v>0</v>
      </c>
      <c r="M6" s="39">
        <v>0</v>
      </c>
      <c r="N6" s="39">
        <v>0</v>
      </c>
      <c r="O6" s="39">
        <v>0</v>
      </c>
      <c r="P6" s="39">
        <v>0.32</v>
      </c>
      <c r="Q6" s="39">
        <v>0.86</v>
      </c>
      <c r="R6" s="39">
        <v>0.46</v>
      </c>
      <c r="S6" s="39">
        <v>4.4999999999999997E-3</v>
      </c>
      <c r="T6" s="39">
        <v>0.8</v>
      </c>
      <c r="U6" s="39">
        <v>1</v>
      </c>
      <c r="V6" s="39">
        <v>0.4</v>
      </c>
      <c r="W6" s="39">
        <v>8.0000000000000002E-3</v>
      </c>
      <c r="X6" s="39">
        <v>0</v>
      </c>
      <c r="Y6" s="39">
        <v>0</v>
      </c>
      <c r="Z6" s="39">
        <v>-40</v>
      </c>
      <c r="AA6" s="39">
        <v>0.25</v>
      </c>
      <c r="AB6" s="38">
        <v>280</v>
      </c>
      <c r="AC6" s="38">
        <v>400</v>
      </c>
      <c r="AD6" s="38">
        <v>520</v>
      </c>
      <c r="AE6" s="38">
        <v>35</v>
      </c>
      <c r="AF6" s="38">
        <v>100</v>
      </c>
      <c r="AG6" s="38">
        <f>'HU-MOD-2-Parameters_FTLZ'!J$38</f>
        <v>30.047360486636386</v>
      </c>
    </row>
    <row r="7" spans="1:33" s="38" customFormat="1" x14ac:dyDescent="0.25">
      <c r="A7" s="38">
        <v>1003</v>
      </c>
      <c r="B7" s="34">
        <v>49</v>
      </c>
      <c r="C7" s="38" t="s">
        <v>69</v>
      </c>
      <c r="D7" s="38" t="s">
        <v>70</v>
      </c>
      <c r="E7" s="39">
        <v>0.86</v>
      </c>
      <c r="F7" s="39">
        <v>0.44500000000000001</v>
      </c>
      <c r="G7" s="39">
        <v>1.7600000000000001E-2</v>
      </c>
      <c r="H7" s="39">
        <v>1.2</v>
      </c>
      <c r="I7" s="39">
        <v>0.86</v>
      </c>
      <c r="J7" s="39">
        <v>0.46</v>
      </c>
      <c r="K7" s="39">
        <v>4.3E-3</v>
      </c>
      <c r="L7" s="39">
        <v>0</v>
      </c>
      <c r="M7" s="39">
        <v>0</v>
      </c>
      <c r="N7" s="39">
        <v>0</v>
      </c>
      <c r="O7" s="39">
        <v>0</v>
      </c>
      <c r="P7" s="39">
        <v>0.32</v>
      </c>
      <c r="Q7" s="39">
        <v>0.86</v>
      </c>
      <c r="R7" s="39">
        <v>0.46</v>
      </c>
      <c r="S7" s="39">
        <v>4.3E-3</v>
      </c>
      <c r="T7" s="39">
        <v>0.8</v>
      </c>
      <c r="U7" s="39">
        <v>1</v>
      </c>
      <c r="V7" s="39">
        <v>0.4</v>
      </c>
      <c r="W7" s="39">
        <v>8.0000000000000002E-3</v>
      </c>
      <c r="X7" s="39">
        <v>0</v>
      </c>
      <c r="Y7" s="39">
        <v>0</v>
      </c>
      <c r="Z7" s="39">
        <v>0</v>
      </c>
      <c r="AA7" s="39">
        <v>0.25</v>
      </c>
      <c r="AB7" s="38">
        <v>280</v>
      </c>
      <c r="AC7" s="38">
        <v>400</v>
      </c>
      <c r="AD7" s="38">
        <v>520</v>
      </c>
      <c r="AE7" s="38">
        <v>40</v>
      </c>
      <c r="AF7" s="38">
        <v>100</v>
      </c>
      <c r="AG7" s="38">
        <f>'HU-MOD-2-Parameters_FTLZ'!J$38</f>
        <v>30.047360486636386</v>
      </c>
    </row>
    <row r="8" spans="1:33" s="38" customFormat="1" x14ac:dyDescent="0.25">
      <c r="A8" s="38">
        <v>1004</v>
      </c>
      <c r="B8" s="34">
        <v>37</v>
      </c>
      <c r="C8" s="38" t="s">
        <v>71</v>
      </c>
      <c r="D8" s="38" t="s">
        <v>72</v>
      </c>
      <c r="E8" s="39">
        <v>0.86</v>
      </c>
      <c r="F8" s="39">
        <v>0.44500000000000001</v>
      </c>
      <c r="G8" s="39">
        <v>1.9800000000000002E-2</v>
      </c>
      <c r="H8" s="39">
        <v>1.3</v>
      </c>
      <c r="I8" s="39">
        <v>0.86</v>
      </c>
      <c r="J8" s="39">
        <v>0.46</v>
      </c>
      <c r="K8" s="39">
        <v>4.9500000000000004E-3</v>
      </c>
      <c r="L8" s="39">
        <v>0</v>
      </c>
      <c r="M8" s="39">
        <v>0</v>
      </c>
      <c r="N8" s="39">
        <v>0</v>
      </c>
      <c r="O8" s="39">
        <v>0</v>
      </c>
      <c r="P8" s="39">
        <v>0.26190476190476197</v>
      </c>
      <c r="Q8" s="39">
        <v>0.86</v>
      </c>
      <c r="R8" s="39">
        <v>0.46</v>
      </c>
      <c r="S8" s="39">
        <v>4.9500000000000004E-3</v>
      </c>
      <c r="T8" s="39">
        <v>0.73333333333333395</v>
      </c>
      <c r="U8" s="39">
        <v>1</v>
      </c>
      <c r="V8" s="39">
        <v>0.4</v>
      </c>
      <c r="W8" s="39">
        <v>8.8000000000000005E-3</v>
      </c>
      <c r="X8" s="39">
        <v>0</v>
      </c>
      <c r="Y8" s="39">
        <v>0</v>
      </c>
      <c r="Z8" s="39">
        <v>0</v>
      </c>
      <c r="AA8" s="39">
        <v>0.25</v>
      </c>
      <c r="AB8" s="38">
        <v>280</v>
      </c>
      <c r="AC8" s="38">
        <v>400</v>
      </c>
      <c r="AD8" s="38">
        <v>520</v>
      </c>
      <c r="AE8" s="38">
        <v>40</v>
      </c>
      <c r="AF8" s="38">
        <v>100</v>
      </c>
      <c r="AG8" s="38">
        <f>'HU-MOD-2-Parameters_FTLZ'!J$38</f>
        <v>30.047360486636386</v>
      </c>
    </row>
    <row r="9" spans="1:33" s="38" customFormat="1" x14ac:dyDescent="0.25">
      <c r="A9" s="38">
        <v>1005</v>
      </c>
      <c r="B9" s="34">
        <v>50</v>
      </c>
      <c r="C9" s="38" t="s">
        <v>73</v>
      </c>
      <c r="D9" s="38" t="s">
        <v>74</v>
      </c>
      <c r="E9" s="39">
        <v>0.86</v>
      </c>
      <c r="F9" s="39">
        <v>0.44500000000000001</v>
      </c>
      <c r="G9" s="39">
        <v>1.7000000000000001E-2</v>
      </c>
      <c r="H9" s="39">
        <v>1.4</v>
      </c>
      <c r="I9" s="39">
        <v>0.86</v>
      </c>
      <c r="J9" s="39">
        <v>0.46</v>
      </c>
      <c r="K9" s="39">
        <v>4.4999999999999997E-3</v>
      </c>
      <c r="L9" s="39">
        <v>0</v>
      </c>
      <c r="M9" s="39">
        <v>0</v>
      </c>
      <c r="N9" s="39">
        <v>0</v>
      </c>
      <c r="O9" s="39">
        <v>0</v>
      </c>
      <c r="P9" s="39">
        <v>0.26260504201680701</v>
      </c>
      <c r="Q9" s="39">
        <v>0.86</v>
      </c>
      <c r="R9" s="39">
        <v>0.46</v>
      </c>
      <c r="S9" s="39">
        <v>4.4999999999999997E-3</v>
      </c>
      <c r="T9" s="39">
        <v>0.73529411764705899</v>
      </c>
      <c r="U9" s="39">
        <v>1</v>
      </c>
      <c r="V9" s="39">
        <v>0.4</v>
      </c>
      <c r="W9" s="39">
        <v>8.0000000000000002E-3</v>
      </c>
      <c r="X9" s="39">
        <v>0</v>
      </c>
      <c r="Y9" s="39">
        <v>0</v>
      </c>
      <c r="Z9" s="39">
        <v>-40</v>
      </c>
      <c r="AA9" s="39">
        <v>0.25</v>
      </c>
      <c r="AB9" s="38">
        <v>280</v>
      </c>
      <c r="AC9" s="38">
        <v>400</v>
      </c>
      <c r="AD9" s="38">
        <v>520</v>
      </c>
      <c r="AE9" s="38">
        <v>35</v>
      </c>
      <c r="AF9" s="38">
        <v>100</v>
      </c>
      <c r="AG9" s="38">
        <f>'HU-MOD-2-Parameters_FTLZ'!J$38</f>
        <v>30.047360486636386</v>
      </c>
    </row>
    <row r="10" spans="1:33" s="38" customFormat="1" x14ac:dyDescent="0.25">
      <c r="A10" s="38">
        <v>1006</v>
      </c>
      <c r="B10" s="34">
        <v>51</v>
      </c>
      <c r="C10" s="38" t="s">
        <v>75</v>
      </c>
      <c r="D10" s="38" t="s">
        <v>76</v>
      </c>
      <c r="E10" s="39">
        <v>0.86</v>
      </c>
      <c r="F10" s="39">
        <v>0.44500000000000001</v>
      </c>
      <c r="G10" s="39">
        <v>1.7999999999999999E-2</v>
      </c>
      <c r="H10" s="39">
        <v>1</v>
      </c>
      <c r="I10" s="39">
        <v>0.86</v>
      </c>
      <c r="J10" s="39">
        <v>0.46</v>
      </c>
      <c r="K10" s="39">
        <v>4.4999999999999997E-3</v>
      </c>
      <c r="L10" s="39">
        <v>0</v>
      </c>
      <c r="M10" s="39">
        <v>0</v>
      </c>
      <c r="N10" s="39">
        <v>0</v>
      </c>
      <c r="O10" s="39">
        <v>0</v>
      </c>
      <c r="P10" s="39">
        <v>0.22857142857142901</v>
      </c>
      <c r="Q10" s="39">
        <v>0.86</v>
      </c>
      <c r="R10" s="39">
        <v>0.46</v>
      </c>
      <c r="S10" s="39">
        <v>4.4999999999999997E-3</v>
      </c>
      <c r="T10" s="39">
        <v>0.57142857142857095</v>
      </c>
      <c r="U10" s="39">
        <v>1</v>
      </c>
      <c r="V10" s="39">
        <v>0.4</v>
      </c>
      <c r="W10" s="39">
        <v>8.0000000000000002E-3</v>
      </c>
      <c r="X10" s="39">
        <v>0</v>
      </c>
      <c r="Y10" s="39">
        <v>0</v>
      </c>
      <c r="Z10" s="39">
        <v>0</v>
      </c>
      <c r="AA10" s="39">
        <v>0.25</v>
      </c>
      <c r="AB10" s="38">
        <v>280</v>
      </c>
      <c r="AC10" s="38">
        <v>400</v>
      </c>
      <c r="AD10" s="38">
        <v>520</v>
      </c>
      <c r="AE10" s="38">
        <v>40</v>
      </c>
      <c r="AF10" s="38">
        <v>100</v>
      </c>
      <c r="AG10" s="38">
        <f>'HU-MOD-2-Parameters_FTLZ'!J$38</f>
        <v>30.047360486636386</v>
      </c>
    </row>
    <row r="11" spans="1:33" s="38" customFormat="1" x14ac:dyDescent="0.25">
      <c r="A11" s="38">
        <v>1007</v>
      </c>
      <c r="B11" s="34">
        <v>31</v>
      </c>
      <c r="C11" s="38" t="s">
        <v>77</v>
      </c>
      <c r="D11" s="38" t="s">
        <v>78</v>
      </c>
      <c r="E11" s="39">
        <v>0.86</v>
      </c>
      <c r="F11" s="39">
        <v>0.44500000000000001</v>
      </c>
      <c r="G11" s="39">
        <v>1.7999999999999999E-2</v>
      </c>
      <c r="H11" s="39">
        <v>1</v>
      </c>
      <c r="I11" s="39">
        <v>0.86</v>
      </c>
      <c r="J11" s="39">
        <v>0.46</v>
      </c>
      <c r="K11" s="39">
        <v>4.4999999999999997E-3</v>
      </c>
      <c r="L11" s="39">
        <v>0</v>
      </c>
      <c r="M11" s="39">
        <v>0</v>
      </c>
      <c r="N11" s="39">
        <v>0</v>
      </c>
      <c r="O11" s="39">
        <v>0</v>
      </c>
      <c r="P11" s="39">
        <v>0.29545454545454503</v>
      </c>
      <c r="Q11" s="39">
        <v>0.86</v>
      </c>
      <c r="R11" s="39">
        <v>0.46</v>
      </c>
      <c r="S11" s="39">
        <v>4.4999999999999997E-3</v>
      </c>
      <c r="T11" s="39">
        <v>0.65</v>
      </c>
      <c r="U11" s="39">
        <v>1</v>
      </c>
      <c r="V11" s="39">
        <v>0.4</v>
      </c>
      <c r="W11" s="39">
        <v>8.0000000000000002E-3</v>
      </c>
      <c r="X11" s="39">
        <v>0</v>
      </c>
      <c r="Y11" s="39">
        <v>0</v>
      </c>
      <c r="Z11" s="39">
        <v>-40</v>
      </c>
      <c r="AA11" s="39">
        <v>0.25</v>
      </c>
      <c r="AB11" s="38">
        <v>280</v>
      </c>
      <c r="AC11" s="38">
        <v>400</v>
      </c>
      <c r="AD11" s="38">
        <v>520</v>
      </c>
      <c r="AE11" s="38">
        <v>35</v>
      </c>
      <c r="AF11" s="38">
        <v>100</v>
      </c>
      <c r="AG11" s="38">
        <f>'HU-MOD-2-Parameters_FTLZ'!J$38</f>
        <v>30.047360486636386</v>
      </c>
    </row>
    <row r="12" spans="1:33" s="38" customFormat="1" x14ac:dyDescent="0.25">
      <c r="A12" s="38">
        <v>1008</v>
      </c>
      <c r="B12" s="34">
        <v>32</v>
      </c>
      <c r="C12" s="38" t="s">
        <v>79</v>
      </c>
      <c r="D12" s="38" t="s">
        <v>80</v>
      </c>
      <c r="E12" s="39">
        <v>0.86</v>
      </c>
      <c r="F12" s="39">
        <v>0.45800000000000002</v>
      </c>
      <c r="G12" s="39">
        <v>1.7000000000000001E-2</v>
      </c>
      <c r="H12" s="39">
        <v>1.4</v>
      </c>
      <c r="I12" s="39">
        <v>0.86</v>
      </c>
      <c r="J12" s="39">
        <v>0.46500000000000002</v>
      </c>
      <c r="K12" s="39">
        <v>4.0000000000000001E-3</v>
      </c>
      <c r="L12" s="39">
        <v>0</v>
      </c>
      <c r="M12" s="39">
        <v>0</v>
      </c>
      <c r="N12" s="39">
        <v>0</v>
      </c>
      <c r="O12" s="39">
        <v>0</v>
      </c>
      <c r="P12" s="39">
        <v>0.25</v>
      </c>
      <c r="Q12" s="39">
        <v>0.86</v>
      </c>
      <c r="R12" s="39">
        <v>0.46500000000000002</v>
      </c>
      <c r="S12" s="39">
        <v>4.0000000000000001E-3</v>
      </c>
      <c r="T12" s="39">
        <v>0.65</v>
      </c>
      <c r="U12" s="39">
        <v>1</v>
      </c>
      <c r="V12" s="39">
        <v>0.4</v>
      </c>
      <c r="W12" s="39">
        <v>8.0000000000000002E-3</v>
      </c>
      <c r="X12" s="39">
        <v>0</v>
      </c>
      <c r="Y12" s="39">
        <v>0</v>
      </c>
      <c r="Z12" s="39">
        <v>-40</v>
      </c>
      <c r="AA12" s="39">
        <v>0.25</v>
      </c>
      <c r="AB12" s="38">
        <v>280</v>
      </c>
      <c r="AC12" s="38">
        <v>400</v>
      </c>
      <c r="AD12" s="38">
        <v>520</v>
      </c>
      <c r="AE12" s="38">
        <v>35</v>
      </c>
      <c r="AF12" s="38">
        <v>100</v>
      </c>
      <c r="AG12" s="38">
        <f>'HU-MOD-2-Parameters_FTLZ'!J$38</f>
        <v>30.047360486636386</v>
      </c>
    </row>
    <row r="13" spans="1:33" s="38" customFormat="1" x14ac:dyDescent="0.25">
      <c r="A13" s="38">
        <v>1009</v>
      </c>
      <c r="B13" s="34">
        <v>52</v>
      </c>
      <c r="C13" s="38" t="s">
        <v>81</v>
      </c>
      <c r="D13" s="38" t="s">
        <v>448</v>
      </c>
      <c r="E13" s="39">
        <v>0.86</v>
      </c>
      <c r="F13" s="39">
        <v>0.44500000000000001</v>
      </c>
      <c r="G13" s="39">
        <v>1.7999999999999999E-2</v>
      </c>
      <c r="H13" s="39">
        <v>1.2</v>
      </c>
      <c r="I13" s="39">
        <v>0.86</v>
      </c>
      <c r="J13" s="39">
        <v>0.46</v>
      </c>
      <c r="K13" s="39">
        <v>4.4999999999999997E-3</v>
      </c>
      <c r="L13" s="39">
        <v>0</v>
      </c>
      <c r="M13" s="39">
        <v>0</v>
      </c>
      <c r="N13" s="39">
        <v>0</v>
      </c>
      <c r="O13" s="39">
        <v>0</v>
      </c>
      <c r="P13" s="39">
        <v>0.26086956521739102</v>
      </c>
      <c r="Q13" s="39">
        <v>0.86</v>
      </c>
      <c r="R13" s="39">
        <v>0.46</v>
      </c>
      <c r="S13" s="39">
        <v>4.4999999999999997E-3</v>
      </c>
      <c r="T13" s="39">
        <v>0.6</v>
      </c>
      <c r="U13" s="39">
        <v>1</v>
      </c>
      <c r="V13" s="39">
        <v>0.4</v>
      </c>
      <c r="W13" s="39">
        <v>8.0000000000000002E-3</v>
      </c>
      <c r="X13" s="39">
        <v>0</v>
      </c>
      <c r="Y13" s="39">
        <v>0</v>
      </c>
      <c r="Z13" s="39">
        <v>0</v>
      </c>
      <c r="AA13" s="39">
        <v>0.25</v>
      </c>
      <c r="AB13" s="38">
        <v>280</v>
      </c>
      <c r="AC13" s="38">
        <v>400</v>
      </c>
      <c r="AD13" s="38">
        <v>520</v>
      </c>
      <c r="AE13" s="38">
        <v>40</v>
      </c>
      <c r="AF13" s="38">
        <v>100</v>
      </c>
      <c r="AG13" s="38">
        <f>'HU-MOD-2-Parameters_FTLZ'!J$38</f>
        <v>30.047360486636386</v>
      </c>
    </row>
    <row r="14" spans="1:33" s="38" customFormat="1" x14ac:dyDescent="0.25">
      <c r="A14" s="38">
        <v>1010</v>
      </c>
      <c r="B14" s="34"/>
      <c r="C14" s="38" t="s">
        <v>82</v>
      </c>
      <c r="D14" s="38" t="s">
        <v>449</v>
      </c>
      <c r="E14" s="39">
        <v>0.86</v>
      </c>
      <c r="F14" s="39">
        <v>0.44500000000000001</v>
      </c>
      <c r="G14" s="39">
        <v>1.7999999999999999E-2</v>
      </c>
      <c r="H14" s="39">
        <v>1.3</v>
      </c>
      <c r="I14" s="39">
        <v>0.86</v>
      </c>
      <c r="J14" s="39">
        <v>0.46</v>
      </c>
      <c r="K14" s="39">
        <v>4.4999999999999997E-3</v>
      </c>
      <c r="L14" s="39">
        <v>0</v>
      </c>
      <c r="M14" s="39">
        <v>0</v>
      </c>
      <c r="N14" s="39">
        <v>0</v>
      </c>
      <c r="O14" s="39">
        <v>0</v>
      </c>
      <c r="P14" s="39">
        <v>0.26086956521739102</v>
      </c>
      <c r="Q14" s="39">
        <v>0.86</v>
      </c>
      <c r="R14" s="39">
        <v>0.46</v>
      </c>
      <c r="S14" s="39">
        <v>4.4999999999999997E-3</v>
      </c>
      <c r="T14" s="39">
        <v>0.6</v>
      </c>
      <c r="U14" s="39">
        <v>1</v>
      </c>
      <c r="V14" s="39">
        <v>0.4</v>
      </c>
      <c r="W14" s="39">
        <v>8.0000000000000002E-3</v>
      </c>
      <c r="X14" s="39">
        <v>0</v>
      </c>
      <c r="Y14" s="39">
        <v>0</v>
      </c>
      <c r="Z14" s="39">
        <v>-40</v>
      </c>
      <c r="AA14" s="39">
        <v>0.25</v>
      </c>
      <c r="AB14" s="38">
        <v>280</v>
      </c>
      <c r="AC14" s="38">
        <v>400</v>
      </c>
      <c r="AD14" s="38">
        <v>520</v>
      </c>
      <c r="AE14" s="38">
        <v>35</v>
      </c>
      <c r="AF14" s="38">
        <v>100</v>
      </c>
      <c r="AG14" s="38">
        <f>'HU-MOD-2-Parameters_FTLZ'!J$38</f>
        <v>30.047360486636386</v>
      </c>
    </row>
    <row r="15" spans="1:33" s="38" customFormat="1" x14ac:dyDescent="0.25">
      <c r="A15" s="38">
        <v>1011</v>
      </c>
      <c r="B15" s="34"/>
      <c r="C15" s="38" t="s">
        <v>83</v>
      </c>
      <c r="D15" s="38" t="s">
        <v>84</v>
      </c>
      <c r="E15" s="39">
        <v>0.86</v>
      </c>
      <c r="F15" s="39">
        <v>0.44500000000000001</v>
      </c>
      <c r="G15" s="39">
        <v>1.7500000000000002E-2</v>
      </c>
      <c r="H15" s="39">
        <v>1.2</v>
      </c>
      <c r="I15" s="39">
        <v>0.86</v>
      </c>
      <c r="J15" s="39">
        <v>0.46</v>
      </c>
      <c r="K15" s="39">
        <v>4.4000000000000003E-3</v>
      </c>
      <c r="L15" s="39">
        <v>0</v>
      </c>
      <c r="M15" s="39">
        <v>0</v>
      </c>
      <c r="N15" s="39">
        <v>0</v>
      </c>
      <c r="O15" s="39">
        <v>0</v>
      </c>
      <c r="P15" s="39">
        <v>0.232504068821204</v>
      </c>
      <c r="Q15" s="39">
        <v>0.86</v>
      </c>
      <c r="R15" s="39">
        <v>0.46</v>
      </c>
      <c r="S15" s="39">
        <v>4.4000000000000003E-3</v>
      </c>
      <c r="T15" s="39">
        <v>0.58823529411764697</v>
      </c>
      <c r="U15" s="39">
        <v>1</v>
      </c>
      <c r="V15" s="39">
        <v>0.4</v>
      </c>
      <c r="W15" s="39">
        <v>8.0000000000000002E-3</v>
      </c>
      <c r="X15" s="39">
        <v>0</v>
      </c>
      <c r="Y15" s="39">
        <v>0</v>
      </c>
      <c r="Z15" s="39">
        <v>0</v>
      </c>
      <c r="AA15" s="39">
        <v>0.25</v>
      </c>
      <c r="AB15" s="38">
        <v>280</v>
      </c>
      <c r="AC15" s="38">
        <v>400</v>
      </c>
      <c r="AD15" s="38">
        <v>520</v>
      </c>
      <c r="AE15" s="38">
        <v>40</v>
      </c>
      <c r="AF15" s="38">
        <v>100</v>
      </c>
      <c r="AG15" s="38">
        <f>'HU-MOD-2-Parameters_FTLZ'!J$38</f>
        <v>30.047360486636386</v>
      </c>
    </row>
    <row r="16" spans="1:33" s="38" customFormat="1" x14ac:dyDescent="0.25">
      <c r="A16" s="38">
        <v>1012</v>
      </c>
      <c r="B16" s="34"/>
      <c r="C16" s="38" t="s">
        <v>85</v>
      </c>
      <c r="D16" s="38" t="s">
        <v>86</v>
      </c>
      <c r="E16" s="39">
        <v>0.86</v>
      </c>
      <c r="F16" s="39">
        <v>0.44500000000000001</v>
      </c>
      <c r="G16" s="39">
        <v>1.7500000000000002E-2</v>
      </c>
      <c r="H16" s="39">
        <v>1.2</v>
      </c>
      <c r="I16" s="39">
        <v>0.86</v>
      </c>
      <c r="J16" s="39">
        <v>0.46</v>
      </c>
      <c r="K16" s="39">
        <v>4.4000000000000003E-3</v>
      </c>
      <c r="L16" s="39">
        <v>0</v>
      </c>
      <c r="M16" s="39">
        <v>0</v>
      </c>
      <c r="N16" s="39">
        <v>0</v>
      </c>
      <c r="O16" s="39">
        <v>0</v>
      </c>
      <c r="P16" s="39">
        <v>0.27430326969497498</v>
      </c>
      <c r="Q16" s="39">
        <v>0.86</v>
      </c>
      <c r="R16" s="39">
        <v>0.46</v>
      </c>
      <c r="S16" s="39">
        <v>4.4000000000000003E-3</v>
      </c>
      <c r="T16" s="39">
        <v>0.68027210884353695</v>
      </c>
      <c r="U16" s="39">
        <v>1</v>
      </c>
      <c r="V16" s="39">
        <v>0.4</v>
      </c>
      <c r="W16" s="39">
        <v>8.0000000000000002E-3</v>
      </c>
      <c r="X16" s="39">
        <v>0</v>
      </c>
      <c r="Y16" s="39">
        <v>0</v>
      </c>
      <c r="Z16" s="39">
        <v>-40</v>
      </c>
      <c r="AA16" s="39">
        <v>0.25</v>
      </c>
      <c r="AB16" s="38">
        <v>280</v>
      </c>
      <c r="AC16" s="38">
        <v>400</v>
      </c>
      <c r="AD16" s="38">
        <v>520</v>
      </c>
      <c r="AE16" s="38">
        <v>35</v>
      </c>
      <c r="AF16" s="38">
        <v>100</v>
      </c>
      <c r="AG16" s="38">
        <f>'HU-MOD-2-Parameters_FTLZ'!J$38</f>
        <v>30.047360486636386</v>
      </c>
    </row>
    <row r="17" spans="1:33" s="38" customFormat="1" x14ac:dyDescent="0.25">
      <c r="A17" s="38">
        <v>1013</v>
      </c>
      <c r="B17" s="34"/>
      <c r="C17" s="38" t="s">
        <v>87</v>
      </c>
      <c r="D17" s="38" t="s">
        <v>88</v>
      </c>
      <c r="E17" s="39">
        <v>0.86</v>
      </c>
      <c r="F17" s="39">
        <v>0.44500000000000001</v>
      </c>
      <c r="G17" s="39">
        <v>1.7000000000000001E-2</v>
      </c>
      <c r="H17" s="39">
        <v>0</v>
      </c>
      <c r="I17" s="39">
        <v>0.86</v>
      </c>
      <c r="J17" s="39">
        <v>0</v>
      </c>
      <c r="K17" s="39">
        <v>0</v>
      </c>
      <c r="L17" s="39">
        <v>0</v>
      </c>
      <c r="M17" s="39">
        <v>0</v>
      </c>
      <c r="N17" s="39">
        <v>0</v>
      </c>
      <c r="O17" s="39">
        <v>0</v>
      </c>
      <c r="P17" s="39">
        <v>0.232504068821204</v>
      </c>
      <c r="Q17" s="39">
        <v>0.86</v>
      </c>
      <c r="R17" s="39">
        <v>0.46</v>
      </c>
      <c r="S17" s="39">
        <v>0</v>
      </c>
      <c r="T17" s="39">
        <v>0.58823529411764697</v>
      </c>
      <c r="U17" s="39">
        <v>1</v>
      </c>
      <c r="V17" s="39">
        <v>0.4</v>
      </c>
      <c r="W17" s="39">
        <v>8.0000000000000002E-3</v>
      </c>
      <c r="X17" s="39">
        <v>0</v>
      </c>
      <c r="Y17" s="39">
        <v>0</v>
      </c>
      <c r="Z17" s="39">
        <v>0</v>
      </c>
      <c r="AA17" s="39">
        <v>0.25</v>
      </c>
      <c r="AB17" s="38">
        <v>280</v>
      </c>
      <c r="AC17" s="38">
        <v>400</v>
      </c>
      <c r="AD17" s="38">
        <v>520</v>
      </c>
      <c r="AE17" s="38">
        <v>45</v>
      </c>
      <c r="AF17" s="38">
        <v>100</v>
      </c>
      <c r="AG17" s="38">
        <f>'HU-MOD-2-Parameters_FTLZ'!J$38</f>
        <v>30.047360486636386</v>
      </c>
    </row>
    <row r="18" spans="1:33" s="38" customFormat="1" x14ac:dyDescent="0.25">
      <c r="A18" s="38">
        <v>1014</v>
      </c>
      <c r="B18" s="34"/>
      <c r="C18" s="38" t="s">
        <v>89</v>
      </c>
      <c r="D18" s="38" t="s">
        <v>90</v>
      </c>
      <c r="E18" s="39">
        <v>0.86</v>
      </c>
      <c r="F18" s="39">
        <v>0.44500000000000001</v>
      </c>
      <c r="G18" s="39">
        <v>1.7000000000000001E-2</v>
      </c>
      <c r="H18" s="39">
        <v>0</v>
      </c>
      <c r="I18" s="39">
        <v>0.86</v>
      </c>
      <c r="J18" s="39">
        <v>0</v>
      </c>
      <c r="K18" s="39">
        <v>0</v>
      </c>
      <c r="L18" s="39">
        <v>0</v>
      </c>
      <c r="M18" s="39">
        <v>0</v>
      </c>
      <c r="N18" s="39">
        <v>0</v>
      </c>
      <c r="O18" s="39">
        <v>0</v>
      </c>
      <c r="P18" s="39">
        <v>0.27430326969497498</v>
      </c>
      <c r="Q18" s="39">
        <v>0.86</v>
      </c>
      <c r="R18" s="39">
        <v>0.46</v>
      </c>
      <c r="S18" s="39">
        <v>0</v>
      </c>
      <c r="T18" s="39">
        <v>0.68027210884353695</v>
      </c>
      <c r="U18" s="39">
        <v>1</v>
      </c>
      <c r="V18" s="39">
        <v>0.4</v>
      </c>
      <c r="W18" s="39">
        <v>8.0000000000000002E-3</v>
      </c>
      <c r="X18" s="39">
        <v>0</v>
      </c>
      <c r="Y18" s="39">
        <v>0</v>
      </c>
      <c r="Z18" s="39">
        <v>-40</v>
      </c>
      <c r="AA18" s="39">
        <v>0.25</v>
      </c>
      <c r="AB18" s="38">
        <v>280</v>
      </c>
      <c r="AC18" s="38">
        <v>400</v>
      </c>
      <c r="AD18" s="38">
        <v>520</v>
      </c>
      <c r="AE18" s="38">
        <v>40</v>
      </c>
      <c r="AF18" s="38">
        <v>100</v>
      </c>
      <c r="AG18" s="38">
        <f>'HU-MOD-2-Parameters_FTLZ'!J$38</f>
        <v>30.047360486636386</v>
      </c>
    </row>
    <row r="19" spans="1:33" x14ac:dyDescent="0.25">
      <c r="A19" s="38">
        <v>1020</v>
      </c>
      <c r="B19" s="34">
        <v>53</v>
      </c>
      <c r="C19" s="38" t="s">
        <v>91</v>
      </c>
      <c r="D19" s="38" t="s">
        <v>92</v>
      </c>
      <c r="E19" s="39">
        <v>0.86</v>
      </c>
      <c r="F19" s="39">
        <v>0.45829999999999999</v>
      </c>
      <c r="G19" s="39">
        <v>3.2599999999999997E-2</v>
      </c>
      <c r="H19" s="39">
        <v>1.36</v>
      </c>
      <c r="I19" s="39">
        <v>0.86</v>
      </c>
      <c r="J19" s="39">
        <v>0.4657</v>
      </c>
      <c r="K19" s="39">
        <v>9.7999999999999997E-3</v>
      </c>
      <c r="L19" s="39">
        <v>0</v>
      </c>
      <c r="M19" s="39">
        <v>0</v>
      </c>
      <c r="N19" s="39">
        <v>0</v>
      </c>
      <c r="O19" s="39">
        <v>0</v>
      </c>
      <c r="P19" s="39">
        <v>0.23529411764705899</v>
      </c>
      <c r="Q19" s="39">
        <v>0.86</v>
      </c>
      <c r="R19" s="39">
        <v>0.4657</v>
      </c>
      <c r="S19" s="39">
        <v>9.7999999999999997E-3</v>
      </c>
      <c r="T19" s="39">
        <v>0.58823529411764697</v>
      </c>
      <c r="U19" s="39">
        <v>1</v>
      </c>
      <c r="V19" s="39">
        <v>0.4</v>
      </c>
      <c r="W19" s="39">
        <v>0.01</v>
      </c>
      <c r="X19" s="39">
        <v>0.5</v>
      </c>
      <c r="Y19" s="39">
        <v>0.75</v>
      </c>
      <c r="Z19" s="39">
        <v>0</v>
      </c>
      <c r="AA19" s="39">
        <v>0.25</v>
      </c>
      <c r="AE19" s="38">
        <v>35</v>
      </c>
      <c r="AF19" s="38">
        <v>100</v>
      </c>
      <c r="AG19" s="38">
        <f>'HU-MOD-2-Parameters_FTLZ'!J$39</f>
        <v>74.032672911940949</v>
      </c>
    </row>
    <row r="20" spans="1:33" x14ac:dyDescent="0.25">
      <c r="B20" s="34"/>
      <c r="C20"/>
      <c r="D20"/>
      <c r="E20" s="39"/>
      <c r="F20" s="39"/>
      <c r="G20" s="39"/>
      <c r="H20" s="39"/>
      <c r="I20" s="39"/>
      <c r="J20" s="39"/>
      <c r="K20" s="39"/>
      <c r="L20" s="39"/>
      <c r="M20" s="39"/>
      <c r="N20" s="39"/>
      <c r="O20" s="39"/>
      <c r="P20" s="39"/>
      <c r="Q20" s="39"/>
      <c r="R20" s="39"/>
      <c r="S20" s="39"/>
      <c r="T20" s="39"/>
      <c r="U20" s="39"/>
      <c r="V20" s="39"/>
      <c r="W20" s="39"/>
      <c r="X20" s="39"/>
      <c r="Y20" s="39"/>
      <c r="Z20" s="39"/>
      <c r="AA20" s="39"/>
    </row>
    <row r="21" spans="1:33" x14ac:dyDescent="0.25">
      <c r="B21" s="34"/>
      <c r="C21"/>
      <c r="D21"/>
      <c r="E21" s="39"/>
      <c r="F21" s="39"/>
      <c r="G21" s="39"/>
      <c r="H21" s="39"/>
      <c r="I21" s="39"/>
      <c r="J21" s="39"/>
      <c r="K21" s="39"/>
      <c r="L21" s="39"/>
      <c r="M21" s="39"/>
      <c r="N21" s="39"/>
      <c r="O21" s="39"/>
      <c r="P21" s="39"/>
      <c r="Q21" s="39"/>
      <c r="R21" s="39"/>
      <c r="S21" s="39"/>
      <c r="T21" s="39"/>
      <c r="U21" s="39"/>
      <c r="V21" s="39"/>
      <c r="W21" s="39"/>
      <c r="X21" s="39"/>
      <c r="Y21" s="39"/>
      <c r="Z21" s="39"/>
      <c r="AA21" s="39"/>
    </row>
    <row r="22" spans="1:33" x14ac:dyDescent="0.25">
      <c r="B22" s="34"/>
      <c r="C22"/>
      <c r="D22"/>
      <c r="E22" s="39"/>
      <c r="F22" s="39"/>
      <c r="G22" s="39"/>
      <c r="H22" s="39"/>
      <c r="I22" s="39"/>
      <c r="J22" s="39"/>
      <c r="K22" s="39"/>
      <c r="L22" s="39"/>
      <c r="M22" s="39"/>
      <c r="N22" s="39"/>
      <c r="O22" s="39"/>
      <c r="P22" s="39"/>
      <c r="Q22" s="39"/>
      <c r="R22" s="39"/>
      <c r="S22" s="39"/>
      <c r="T22" s="39"/>
      <c r="U22" s="39"/>
      <c r="V22" s="39"/>
      <c r="W22" s="39"/>
      <c r="X22" s="39"/>
      <c r="Y22" s="39"/>
      <c r="Z22" s="39"/>
      <c r="AA22" s="39"/>
    </row>
    <row r="23" spans="1:33" x14ac:dyDescent="0.25">
      <c r="B23" s="34"/>
      <c r="C23"/>
      <c r="D23"/>
      <c r="E23" s="39"/>
      <c r="F23" s="39"/>
      <c r="G23" s="39"/>
      <c r="H23" s="39"/>
      <c r="I23" s="39"/>
      <c r="J23" s="39"/>
      <c r="K23" s="39"/>
      <c r="L23" s="39"/>
      <c r="M23" s="39"/>
      <c r="N23" s="39"/>
      <c r="O23" s="39"/>
      <c r="P23" s="39"/>
      <c r="Q23" s="39"/>
      <c r="R23" s="39"/>
      <c r="S23" s="39"/>
      <c r="T23" s="39"/>
      <c r="U23" s="39"/>
      <c r="V23" s="39"/>
      <c r="W23" s="39"/>
      <c r="X23" s="39"/>
      <c r="Y23" s="39"/>
      <c r="Z23" s="39"/>
      <c r="AA23" s="39"/>
    </row>
    <row r="24" spans="1:33" x14ac:dyDescent="0.25">
      <c r="A24" s="38">
        <v>1025</v>
      </c>
      <c r="B24" s="34">
        <v>3</v>
      </c>
      <c r="C24" s="38" t="s">
        <v>93</v>
      </c>
      <c r="D24" s="38" t="s">
        <v>94</v>
      </c>
      <c r="E24" s="39">
        <v>0.86</v>
      </c>
      <c r="F24" s="39">
        <v>0.45829999999999999</v>
      </c>
      <c r="G24" s="39">
        <v>3.2599999999999997E-2</v>
      </c>
      <c r="H24" s="39">
        <v>1.36</v>
      </c>
      <c r="I24" s="39">
        <v>0.86</v>
      </c>
      <c r="J24" s="39">
        <v>0.4657</v>
      </c>
      <c r="K24" s="39">
        <v>9.7999999999999997E-3</v>
      </c>
      <c r="L24" s="39">
        <v>0</v>
      </c>
      <c r="M24" s="39">
        <v>0</v>
      </c>
      <c r="N24" s="39">
        <v>0</v>
      </c>
      <c r="O24" s="39">
        <v>0</v>
      </c>
      <c r="P24" s="39">
        <v>0.23529411764705899</v>
      </c>
      <c r="Q24" s="39">
        <v>0.86</v>
      </c>
      <c r="R24" s="39">
        <v>0.4657</v>
      </c>
      <c r="S24" s="39">
        <v>9.7999999999999997E-3</v>
      </c>
      <c r="T24" s="39">
        <v>0.58823529411764697</v>
      </c>
      <c r="U24" s="39">
        <v>1</v>
      </c>
      <c r="V24" s="39">
        <v>0.4</v>
      </c>
      <c r="W24" s="39">
        <v>0.01</v>
      </c>
      <c r="X24" s="39">
        <v>0.5</v>
      </c>
      <c r="Y24" s="39">
        <v>0.7</v>
      </c>
      <c r="Z24" s="39">
        <v>-40</v>
      </c>
      <c r="AA24" s="39">
        <v>0.25</v>
      </c>
      <c r="AB24" s="39">
        <v>-160</v>
      </c>
      <c r="AC24" s="39">
        <v>-160</v>
      </c>
      <c r="AD24" s="39">
        <v>-160</v>
      </c>
      <c r="AE24" s="38">
        <v>35</v>
      </c>
      <c r="AF24" s="38">
        <v>100</v>
      </c>
      <c r="AG24" s="38">
        <f>'HU-MOD-2-Parameters_FTLZ'!J$39</f>
        <v>74.032672911940949</v>
      </c>
    </row>
    <row r="25" spans="1:33" x14ac:dyDescent="0.25">
      <c r="B25" s="34"/>
      <c r="C25"/>
      <c r="D25"/>
      <c r="E25" s="39"/>
      <c r="F25" s="39"/>
      <c r="G25" s="39"/>
      <c r="H25" s="39"/>
      <c r="I25" s="39"/>
      <c r="J25" s="39"/>
      <c r="K25" s="39"/>
      <c r="L25" s="39"/>
      <c r="M25" s="39"/>
      <c r="N25" s="39"/>
      <c r="O25" s="39"/>
      <c r="P25" s="39"/>
      <c r="Q25" s="39"/>
      <c r="R25" s="39"/>
      <c r="S25" s="39"/>
      <c r="T25" s="39"/>
      <c r="U25" s="39"/>
      <c r="V25" s="39"/>
      <c r="W25" s="39"/>
      <c r="X25" s="39"/>
      <c r="Y25" s="39"/>
      <c r="Z25" s="39"/>
      <c r="AA25" s="39"/>
    </row>
    <row r="26" spans="1:33" x14ac:dyDescent="0.25">
      <c r="B26" s="34"/>
      <c r="C26"/>
      <c r="D26"/>
      <c r="E26" s="39"/>
      <c r="F26" s="39"/>
      <c r="G26" s="39"/>
      <c r="H26" s="39"/>
      <c r="I26" s="39"/>
      <c r="J26" s="39"/>
      <c r="K26" s="39"/>
      <c r="L26" s="39"/>
      <c r="M26" s="39"/>
      <c r="N26" s="39"/>
      <c r="O26" s="39"/>
      <c r="P26" s="39"/>
      <c r="Q26" s="39"/>
      <c r="R26" s="39"/>
      <c r="S26" s="39"/>
      <c r="T26" s="39"/>
      <c r="U26" s="39"/>
      <c r="V26" s="39"/>
      <c r="W26" s="39"/>
      <c r="X26" s="39"/>
      <c r="Y26" s="39"/>
      <c r="Z26" s="39"/>
      <c r="AA26" s="39"/>
    </row>
    <row r="27" spans="1:33" x14ac:dyDescent="0.25">
      <c r="B27" s="34"/>
      <c r="C27"/>
      <c r="D27"/>
      <c r="E27" s="39"/>
      <c r="F27" s="39"/>
      <c r="G27" s="39"/>
      <c r="H27" s="39"/>
      <c r="I27" s="39"/>
      <c r="J27" s="39"/>
      <c r="K27" s="39"/>
      <c r="L27" s="39"/>
      <c r="M27" s="39"/>
      <c r="N27" s="39"/>
      <c r="O27" s="39"/>
      <c r="P27" s="39"/>
      <c r="Q27" s="39"/>
      <c r="R27" s="39"/>
      <c r="S27" s="39"/>
      <c r="T27" s="39"/>
      <c r="U27" s="39"/>
      <c r="V27" s="39"/>
      <c r="W27" s="39"/>
      <c r="X27" s="39"/>
      <c r="Y27" s="39"/>
      <c r="Z27" s="39"/>
      <c r="AA27" s="39"/>
    </row>
    <row r="28" spans="1:33" x14ac:dyDescent="0.25">
      <c r="B28" s="34"/>
      <c r="C28"/>
      <c r="D28"/>
      <c r="E28" s="39"/>
      <c r="F28" s="39"/>
      <c r="G28" s="39"/>
      <c r="H28" s="39"/>
      <c r="I28" s="39"/>
      <c r="J28" s="39"/>
      <c r="K28" s="39"/>
      <c r="L28" s="39"/>
      <c r="M28" s="39"/>
      <c r="N28" s="39"/>
      <c r="O28" s="39"/>
      <c r="P28" s="39"/>
      <c r="Q28" s="39"/>
      <c r="R28" s="39"/>
      <c r="S28" s="39"/>
      <c r="T28" s="39"/>
      <c r="U28" s="39"/>
      <c r="V28" s="39"/>
      <c r="W28" s="39"/>
      <c r="X28" s="39"/>
      <c r="Y28" s="39"/>
      <c r="Z28" s="39"/>
      <c r="AA28" s="39"/>
    </row>
    <row r="29" spans="1:33" x14ac:dyDescent="0.25">
      <c r="A29" s="38">
        <v>1030</v>
      </c>
      <c r="B29" s="34">
        <v>12</v>
      </c>
      <c r="C29" s="38" t="s">
        <v>95</v>
      </c>
      <c r="D29" s="38" t="s">
        <v>96</v>
      </c>
      <c r="E29" s="39">
        <v>0.86</v>
      </c>
      <c r="F29" s="39">
        <v>0.45</v>
      </c>
      <c r="G29" s="39">
        <v>1.35E-2</v>
      </c>
      <c r="H29" s="39">
        <v>0.8</v>
      </c>
      <c r="I29" s="39">
        <v>0.86</v>
      </c>
      <c r="J29" s="39">
        <v>0.46</v>
      </c>
      <c r="K29" s="39">
        <v>0.01</v>
      </c>
      <c r="L29" s="39">
        <v>0</v>
      </c>
      <c r="M29" s="39">
        <v>0</v>
      </c>
      <c r="N29" s="39">
        <v>0</v>
      </c>
      <c r="O29" s="39">
        <v>0</v>
      </c>
      <c r="P29" s="39">
        <v>8.6538461538461495E-2</v>
      </c>
      <c r="Q29" s="39">
        <v>0.86</v>
      </c>
      <c r="R29" s="39">
        <v>0.46</v>
      </c>
      <c r="S29" s="39">
        <v>0.01</v>
      </c>
      <c r="T29" s="39">
        <v>0.1125</v>
      </c>
      <c r="U29" s="39">
        <v>1</v>
      </c>
      <c r="V29" s="39">
        <v>0.4</v>
      </c>
      <c r="W29" s="39">
        <v>8.0000000000000002E-3</v>
      </c>
      <c r="X29" s="39">
        <v>0</v>
      </c>
      <c r="Y29" s="39">
        <v>0</v>
      </c>
      <c r="Z29" s="39">
        <v>-40</v>
      </c>
      <c r="AA29" s="39">
        <v>0.25</v>
      </c>
      <c r="AB29" s="38">
        <v>560</v>
      </c>
      <c r="AC29" s="38">
        <v>800</v>
      </c>
      <c r="AD29" s="38">
        <v>1040</v>
      </c>
      <c r="AF29" s="38">
        <v>0</v>
      </c>
      <c r="AG29" s="38">
        <f>'HU-MOD-2-Parameters_FTLZ'!J$39</f>
        <v>74.032672911940949</v>
      </c>
    </row>
    <row r="30" spans="1:33" x14ac:dyDescent="0.25">
      <c r="A30" s="38">
        <v>1031</v>
      </c>
      <c r="B30" s="34">
        <v>29</v>
      </c>
      <c r="C30" s="38" t="s">
        <v>97</v>
      </c>
      <c r="D30" s="38" t="s">
        <v>98</v>
      </c>
      <c r="E30" s="39">
        <v>0.28000000000000003</v>
      </c>
      <c r="F30" s="39">
        <v>0.45</v>
      </c>
      <c r="G30" s="39">
        <v>1.1299999999999999E-2</v>
      </c>
      <c r="H30" s="39">
        <v>0</v>
      </c>
      <c r="I30" s="39">
        <v>0.86</v>
      </c>
      <c r="J30" s="39">
        <v>0</v>
      </c>
      <c r="K30" s="39">
        <v>0</v>
      </c>
      <c r="L30" s="39">
        <v>0</v>
      </c>
      <c r="M30" s="39">
        <v>0</v>
      </c>
      <c r="N30" s="39">
        <v>0</v>
      </c>
      <c r="O30" s="39">
        <v>0</v>
      </c>
      <c r="P30" s="39">
        <v>8.6538461538461495E-2</v>
      </c>
      <c r="Q30" s="39">
        <v>0.86</v>
      </c>
      <c r="R30" s="39">
        <v>0.45</v>
      </c>
      <c r="S30" s="39">
        <v>0</v>
      </c>
      <c r="T30" s="39">
        <v>0.1125</v>
      </c>
      <c r="U30" s="39">
        <v>1</v>
      </c>
      <c r="V30" s="39">
        <v>0.4</v>
      </c>
      <c r="W30" s="39">
        <v>8.0000000000000002E-3</v>
      </c>
      <c r="X30" s="39">
        <v>0</v>
      </c>
      <c r="Y30" s="39">
        <v>0</v>
      </c>
      <c r="Z30" s="39">
        <v>-40</v>
      </c>
      <c r="AA30" s="39">
        <v>0.25</v>
      </c>
      <c r="AB30" s="38">
        <v>560</v>
      </c>
      <c r="AC30" s="38">
        <v>800</v>
      </c>
      <c r="AD30" s="38">
        <v>1040</v>
      </c>
      <c r="AE30" s="38">
        <v>350</v>
      </c>
      <c r="AF30" s="38">
        <v>0</v>
      </c>
      <c r="AG30" s="38">
        <f>'HU-MOD-2-Parameters_FTLZ'!J$39</f>
        <v>74.032672911940949</v>
      </c>
    </row>
    <row r="31" spans="1:33" x14ac:dyDescent="0.25">
      <c r="A31" s="38">
        <v>1032</v>
      </c>
      <c r="B31" s="34">
        <v>36</v>
      </c>
      <c r="C31" s="38" t="s">
        <v>99</v>
      </c>
      <c r="D31" s="38" t="s">
        <v>450</v>
      </c>
      <c r="E31" s="39">
        <v>0.91</v>
      </c>
      <c r="F31" s="39">
        <v>0.56499999999999995</v>
      </c>
      <c r="G31" s="39">
        <v>3.4500000000000003E-2</v>
      </c>
      <c r="H31" s="39">
        <v>2.2999999999999998</v>
      </c>
      <c r="I31" s="39">
        <v>0.86</v>
      </c>
      <c r="J31" s="39">
        <v>0.47</v>
      </c>
      <c r="K31" s="39">
        <v>7.0000000000000001E-3</v>
      </c>
      <c r="L31" s="39">
        <v>0</v>
      </c>
      <c r="M31" s="39">
        <v>0</v>
      </c>
      <c r="N31" s="39">
        <v>0</v>
      </c>
      <c r="O31" s="39">
        <v>0</v>
      </c>
      <c r="P31" s="39">
        <v>0.10989010989011</v>
      </c>
      <c r="Q31" s="39">
        <v>0.86</v>
      </c>
      <c r="R31" s="39">
        <v>0.47</v>
      </c>
      <c r="S31" s="39">
        <v>7.0000000000000001E-3</v>
      </c>
      <c r="T31" s="39">
        <v>0.14285714285714299</v>
      </c>
      <c r="U31" s="39">
        <v>1</v>
      </c>
      <c r="V31" s="39">
        <v>0.4</v>
      </c>
      <c r="W31" s="39">
        <v>0.02</v>
      </c>
      <c r="X31" s="39">
        <v>0</v>
      </c>
      <c r="Y31" s="39">
        <v>0</v>
      </c>
      <c r="Z31" s="39">
        <v>0</v>
      </c>
      <c r="AA31" s="39">
        <v>0.25</v>
      </c>
      <c r="AB31" s="38">
        <v>280</v>
      </c>
      <c r="AC31" s="38">
        <v>400</v>
      </c>
      <c r="AD31" s="38">
        <v>520</v>
      </c>
      <c r="AE31" s="38">
        <v>25</v>
      </c>
      <c r="AF31" s="38">
        <v>100</v>
      </c>
      <c r="AG31" s="38">
        <f>'HU-MOD-2-Parameters_FTLZ'!J$39</f>
        <v>74.032672911940949</v>
      </c>
    </row>
    <row r="32" spans="1:33" x14ac:dyDescent="0.25">
      <c r="A32" s="38">
        <v>1033</v>
      </c>
      <c r="B32"/>
      <c r="C32" s="38" t="s">
        <v>100</v>
      </c>
      <c r="D32" s="38" t="s">
        <v>451</v>
      </c>
      <c r="E32" s="39">
        <v>0.91</v>
      </c>
      <c r="F32" s="39">
        <v>0.55000000000000004</v>
      </c>
      <c r="G32" s="39">
        <v>3.4500000000000003E-2</v>
      </c>
      <c r="H32" s="39">
        <v>2.2999999999999998</v>
      </c>
      <c r="I32" s="39">
        <v>0.86</v>
      </c>
      <c r="J32" s="39">
        <v>0.47</v>
      </c>
      <c r="K32" s="39">
        <v>7.0000000000000001E-3</v>
      </c>
      <c r="L32" s="39">
        <v>0</v>
      </c>
      <c r="M32" s="39">
        <v>0</v>
      </c>
      <c r="N32" s="39">
        <v>0</v>
      </c>
      <c r="O32" s="39">
        <v>0</v>
      </c>
      <c r="P32" s="39">
        <v>0.10989010989011</v>
      </c>
      <c r="Q32" s="39">
        <v>0.86</v>
      </c>
      <c r="R32" s="39">
        <v>0.47</v>
      </c>
      <c r="S32" s="39">
        <v>7.0000000000000001E-3</v>
      </c>
      <c r="T32" s="39">
        <v>0.14285714285714299</v>
      </c>
      <c r="U32" s="39">
        <v>1</v>
      </c>
      <c r="V32" s="39">
        <v>0.4</v>
      </c>
      <c r="W32" s="39">
        <v>0.02</v>
      </c>
      <c r="X32" s="39">
        <v>0</v>
      </c>
      <c r="Y32" s="39">
        <v>0</v>
      </c>
      <c r="Z32" s="39">
        <v>0</v>
      </c>
      <c r="AA32" s="39">
        <v>0.25</v>
      </c>
      <c r="AB32" s="38">
        <v>280</v>
      </c>
      <c r="AC32" s="38">
        <v>400</v>
      </c>
      <c r="AD32" s="38">
        <v>520</v>
      </c>
      <c r="AE32" s="38">
        <v>25</v>
      </c>
      <c r="AF32" s="38">
        <v>100</v>
      </c>
      <c r="AG32" s="38">
        <f>'HU-MOD-2-Parameters_FTLZ'!J$39</f>
        <v>74.032672911940949</v>
      </c>
    </row>
    <row r="33" spans="1:33" x14ac:dyDescent="0.25">
      <c r="A33" s="38">
        <v>1034</v>
      </c>
      <c r="B33" s="34">
        <v>4</v>
      </c>
      <c r="C33" s="38" t="s">
        <v>101</v>
      </c>
      <c r="D33" s="38" t="s">
        <v>452</v>
      </c>
      <c r="E33" s="39">
        <v>0.22</v>
      </c>
      <c r="F33" s="39">
        <v>0.42</v>
      </c>
      <c r="G33" s="39">
        <v>1.54E-2</v>
      </c>
      <c r="H33" s="39">
        <v>0</v>
      </c>
      <c r="I33" s="39">
        <v>0.4</v>
      </c>
      <c r="J33" s="39">
        <v>0.4</v>
      </c>
      <c r="K33" s="39">
        <v>9.9000000000000008E-3</v>
      </c>
      <c r="L33" s="39">
        <v>0</v>
      </c>
      <c r="M33" s="39">
        <v>0</v>
      </c>
      <c r="N33" s="39">
        <v>0</v>
      </c>
      <c r="O33" s="39">
        <v>0</v>
      </c>
      <c r="P33" s="39">
        <v>0.3</v>
      </c>
      <c r="Q33" s="39">
        <v>0.4</v>
      </c>
      <c r="R33" s="39">
        <v>0.4</v>
      </c>
      <c r="S33" s="39">
        <v>9.9000000000000008E-3</v>
      </c>
      <c r="T33" s="39">
        <v>0.10101010101010099</v>
      </c>
      <c r="U33" s="39">
        <v>1</v>
      </c>
      <c r="V33" s="39">
        <v>0.4</v>
      </c>
      <c r="W33" s="39">
        <v>2.53E-2</v>
      </c>
      <c r="X33" s="39">
        <v>0</v>
      </c>
      <c r="Y33" s="39">
        <v>0</v>
      </c>
      <c r="Z33" s="39">
        <v>-40</v>
      </c>
      <c r="AA33" s="39">
        <v>0.25</v>
      </c>
      <c r="AB33" s="38">
        <v>760</v>
      </c>
      <c r="AC33" s="38">
        <v>1000</v>
      </c>
      <c r="AD33" s="38">
        <v>1240</v>
      </c>
      <c r="AE33" s="38">
        <v>250</v>
      </c>
      <c r="AF33" s="38">
        <v>0</v>
      </c>
      <c r="AG33" s="38">
        <v>0</v>
      </c>
    </row>
    <row r="34" spans="1:33" x14ac:dyDescent="0.25">
      <c r="A34" s="38">
        <v>1035</v>
      </c>
      <c r="B34" s="34">
        <v>39</v>
      </c>
      <c r="C34" s="38" t="s">
        <v>103</v>
      </c>
      <c r="D34" s="38" t="s">
        <v>104</v>
      </c>
      <c r="E34" s="39">
        <v>0.23</v>
      </c>
      <c r="F34" s="39">
        <v>0.41</v>
      </c>
      <c r="G34" s="39">
        <v>7.0000000000000001E-3</v>
      </c>
      <c r="H34" s="39">
        <v>0.6</v>
      </c>
      <c r="I34" s="39">
        <v>0.18</v>
      </c>
      <c r="J34" s="39">
        <v>0.4</v>
      </c>
      <c r="K34" s="39">
        <v>1.7999999999999999E-2</v>
      </c>
      <c r="L34" s="39">
        <v>0</v>
      </c>
      <c r="M34" s="39">
        <v>0</v>
      </c>
      <c r="N34" s="39">
        <v>0</v>
      </c>
      <c r="O34" s="39">
        <v>0</v>
      </c>
      <c r="P34" s="39">
        <v>0</v>
      </c>
      <c r="Q34" s="39">
        <v>0.18</v>
      </c>
      <c r="R34" s="39">
        <v>0.4</v>
      </c>
      <c r="S34" s="39">
        <v>1.7999999999999999E-2</v>
      </c>
      <c r="T34" s="39">
        <v>0.10101010101010099</v>
      </c>
      <c r="U34" s="39">
        <v>1</v>
      </c>
      <c r="V34" s="39">
        <v>0.4</v>
      </c>
      <c r="W34" s="39">
        <v>2.63E-2</v>
      </c>
      <c r="X34" s="39">
        <v>0</v>
      </c>
      <c r="Y34" s="39">
        <v>0</v>
      </c>
      <c r="Z34" s="39">
        <v>-40</v>
      </c>
      <c r="AA34" s="39">
        <v>0.25</v>
      </c>
      <c r="AB34" s="38">
        <v>760</v>
      </c>
      <c r="AC34" s="38">
        <v>1300</v>
      </c>
      <c r="AD34" s="38">
        <v>1840</v>
      </c>
      <c r="AE34" s="38">
        <v>400</v>
      </c>
      <c r="AF34" s="38">
        <v>16</v>
      </c>
      <c r="AG34" s="38">
        <f>'HU-MOD-2-Parameters_FTLZ'!J$28</f>
        <v>39.412325979289278</v>
      </c>
    </row>
    <row r="35" spans="1:33" x14ac:dyDescent="0.25">
      <c r="A35" s="38">
        <v>1036</v>
      </c>
      <c r="B35"/>
      <c r="C35" s="40" t="s">
        <v>105</v>
      </c>
      <c r="D35" s="40" t="s">
        <v>106</v>
      </c>
      <c r="E35" s="39">
        <v>0.12</v>
      </c>
      <c r="F35" s="39">
        <v>0.41199999999999998</v>
      </c>
      <c r="G35" s="39">
        <v>1.4999999999999999E-2</v>
      </c>
      <c r="H35" s="39">
        <v>0.35</v>
      </c>
      <c r="I35" s="39">
        <v>0.15</v>
      </c>
      <c r="J35" s="39">
        <v>0.4</v>
      </c>
      <c r="K35" s="39">
        <v>1.35E-2</v>
      </c>
      <c r="L35" s="39">
        <v>0</v>
      </c>
      <c r="M35" s="39">
        <v>0</v>
      </c>
      <c r="N35" s="39">
        <v>0</v>
      </c>
      <c r="O35" s="39">
        <v>0</v>
      </c>
      <c r="P35" s="39">
        <v>0</v>
      </c>
      <c r="Q35" s="39">
        <v>0.15</v>
      </c>
      <c r="R35" s="39">
        <v>0.4</v>
      </c>
      <c r="S35" s="39">
        <v>1.35E-2</v>
      </c>
      <c r="T35" s="39">
        <v>0.10101010101010099</v>
      </c>
      <c r="U35" s="39">
        <v>1</v>
      </c>
      <c r="V35" s="39">
        <v>0.4</v>
      </c>
      <c r="W35" s="39">
        <v>2.63E-2</v>
      </c>
      <c r="X35" s="39">
        <v>0</v>
      </c>
      <c r="Y35" s="39">
        <v>0</v>
      </c>
      <c r="Z35" s="39">
        <v>-40</v>
      </c>
      <c r="AA35" s="39">
        <v>0.25</v>
      </c>
      <c r="AB35" s="38">
        <v>760</v>
      </c>
      <c r="AC35" s="38">
        <v>1300</v>
      </c>
      <c r="AD35" s="38">
        <v>1840</v>
      </c>
      <c r="AE35" s="38">
        <v>400</v>
      </c>
      <c r="AF35" s="38">
        <v>16</v>
      </c>
      <c r="AG35" s="38">
        <f>'HU-MOD-2-Parameters_FTLZ'!J$28</f>
        <v>39.412325979289278</v>
      </c>
    </row>
    <row r="36" spans="1:33" x14ac:dyDescent="0.25">
      <c r="A36" s="38">
        <v>1037</v>
      </c>
      <c r="B36"/>
      <c r="C36" s="38" t="s">
        <v>107</v>
      </c>
      <c r="D36" s="38" t="s">
        <v>108</v>
      </c>
      <c r="E36" s="39">
        <v>0.86</v>
      </c>
      <c r="F36" s="39">
        <v>0.44500000000000001</v>
      </c>
      <c r="G36" s="39">
        <v>1.7999999999999999E-2</v>
      </c>
      <c r="H36" s="39">
        <v>2</v>
      </c>
      <c r="I36" s="39">
        <v>0.86</v>
      </c>
      <c r="J36" s="39">
        <v>0.46</v>
      </c>
      <c r="K36" s="39">
        <v>4.4999999999999997E-3</v>
      </c>
      <c r="L36" s="39">
        <v>0</v>
      </c>
      <c r="M36" s="39">
        <v>0</v>
      </c>
      <c r="N36" s="39">
        <v>0</v>
      </c>
      <c r="O36" s="39">
        <v>0</v>
      </c>
      <c r="P36" s="39">
        <v>0.26086956521739102</v>
      </c>
      <c r="Q36" s="39">
        <v>0.86</v>
      </c>
      <c r="R36" s="39">
        <v>0.46</v>
      </c>
      <c r="S36" s="39">
        <v>4.4999999999999997E-3</v>
      </c>
      <c r="T36" s="39">
        <v>0.6</v>
      </c>
      <c r="U36" s="39">
        <v>1</v>
      </c>
      <c r="V36" s="39">
        <v>0.4</v>
      </c>
      <c r="W36" s="39">
        <v>8.0000000000000002E-3</v>
      </c>
      <c r="X36" s="39">
        <v>0</v>
      </c>
      <c r="Y36" s="39">
        <v>0</v>
      </c>
      <c r="Z36" s="39">
        <v>-40</v>
      </c>
      <c r="AA36" s="39">
        <v>0.25</v>
      </c>
      <c r="AB36" s="38">
        <v>280</v>
      </c>
      <c r="AC36" s="38">
        <v>400</v>
      </c>
      <c r="AD36" s="38">
        <v>520</v>
      </c>
      <c r="AE36" s="38">
        <v>25</v>
      </c>
      <c r="AF36" s="38">
        <v>100</v>
      </c>
      <c r="AG36" s="38">
        <f>'HU-MOD-2-Parameters_FTLZ'!J$39</f>
        <v>74.032672911940949</v>
      </c>
    </row>
    <row r="37" spans="1:33" x14ac:dyDescent="0.25">
      <c r="A37" s="38">
        <v>1038</v>
      </c>
      <c r="B37"/>
      <c r="C37" s="38" t="s">
        <v>109</v>
      </c>
      <c r="D37" s="38" t="s">
        <v>110</v>
      </c>
      <c r="E37" s="39">
        <v>0.86</v>
      </c>
      <c r="F37" s="39">
        <v>0.53</v>
      </c>
      <c r="G37" s="41">
        <v>3.85E-2</v>
      </c>
      <c r="H37" s="39">
        <v>1.7</v>
      </c>
      <c r="I37" s="39">
        <v>0.86</v>
      </c>
      <c r="J37" s="39">
        <v>0.46</v>
      </c>
      <c r="K37" s="41">
        <v>8.8999999999999999E-3</v>
      </c>
      <c r="L37" s="39">
        <v>0</v>
      </c>
      <c r="M37" s="39">
        <v>0</v>
      </c>
      <c r="N37" s="39">
        <v>0</v>
      </c>
      <c r="O37" s="39">
        <v>0</v>
      </c>
      <c r="P37" s="41">
        <v>0.10989010989011</v>
      </c>
      <c r="Q37" s="41">
        <v>0.86</v>
      </c>
      <c r="R37" s="41">
        <v>0.46</v>
      </c>
      <c r="S37" s="41">
        <v>8.8999999999999999E-3</v>
      </c>
      <c r="T37" s="41">
        <v>0.14285714285714299</v>
      </c>
      <c r="U37" s="39">
        <v>1</v>
      </c>
      <c r="V37" s="39">
        <v>0.4</v>
      </c>
      <c r="W37" s="41">
        <v>8.0000000000000002E-3</v>
      </c>
      <c r="X37" s="41">
        <v>0</v>
      </c>
      <c r="Y37" s="41">
        <v>0</v>
      </c>
      <c r="Z37" s="39">
        <v>-40</v>
      </c>
      <c r="AA37" s="39">
        <v>0.25</v>
      </c>
      <c r="AB37" s="38">
        <v>280</v>
      </c>
      <c r="AC37" s="38">
        <v>400</v>
      </c>
      <c r="AD37" s="38">
        <v>520</v>
      </c>
      <c r="AE37" s="38">
        <v>15</v>
      </c>
      <c r="AF37" s="38">
        <v>100</v>
      </c>
      <c r="AG37" s="38">
        <v>86</v>
      </c>
    </row>
    <row r="38" spans="1:33" x14ac:dyDescent="0.25">
      <c r="A38" s="38">
        <v>1040</v>
      </c>
      <c r="B38"/>
      <c r="C38" s="38" t="s">
        <v>111</v>
      </c>
      <c r="D38" s="38" t="s">
        <v>112</v>
      </c>
      <c r="E38" s="39">
        <v>0.86</v>
      </c>
      <c r="F38" s="39">
        <v>0.47</v>
      </c>
      <c r="G38" s="41">
        <v>4.7E-2</v>
      </c>
      <c r="H38" s="39">
        <v>1.6</v>
      </c>
      <c r="I38" s="39">
        <v>0.86</v>
      </c>
      <c r="J38" s="39">
        <v>0.47499999999999998</v>
      </c>
      <c r="K38" s="41">
        <v>1.38E-2</v>
      </c>
      <c r="L38" s="39">
        <v>0</v>
      </c>
      <c r="M38" s="39">
        <v>0</v>
      </c>
      <c r="N38" s="39">
        <v>0</v>
      </c>
      <c r="O38" s="39">
        <v>0</v>
      </c>
      <c r="P38" s="41">
        <v>0.109289617486339</v>
      </c>
      <c r="Q38" s="41">
        <v>0.86</v>
      </c>
      <c r="R38" s="41">
        <v>0.47499999999999998</v>
      </c>
      <c r="S38" s="41">
        <v>1.38E-2</v>
      </c>
      <c r="T38" s="41">
        <v>0.16393442622950799</v>
      </c>
      <c r="U38" s="39">
        <v>1</v>
      </c>
      <c r="V38" s="39">
        <v>0.4</v>
      </c>
      <c r="W38" s="41">
        <v>1.18E-2</v>
      </c>
      <c r="X38" s="41">
        <v>1</v>
      </c>
      <c r="Y38" s="41">
        <v>0.75</v>
      </c>
      <c r="Z38" s="39">
        <v>0</v>
      </c>
      <c r="AA38" s="39">
        <v>0.25</v>
      </c>
      <c r="AB38" s="38">
        <v>-160</v>
      </c>
      <c r="AC38" s="38">
        <v>-160</v>
      </c>
      <c r="AD38" s="38">
        <v>-160</v>
      </c>
      <c r="AE38" s="38">
        <v>40</v>
      </c>
      <c r="AF38" s="38">
        <v>100</v>
      </c>
      <c r="AG38" s="38">
        <f>'HU-MOD-2-Parameters_FTLZ'!J$39</f>
        <v>74.032672911940949</v>
      </c>
    </row>
    <row r="39" spans="1:33" x14ac:dyDescent="0.25">
      <c r="A39" s="38">
        <v>1041</v>
      </c>
      <c r="B39" s="34">
        <v>1</v>
      </c>
      <c r="C39" s="38" t="s">
        <v>113</v>
      </c>
      <c r="D39" s="38" t="s">
        <v>114</v>
      </c>
      <c r="E39" s="39">
        <v>0.86</v>
      </c>
      <c r="F39" s="39">
        <v>0.47</v>
      </c>
      <c r="G39" s="41">
        <v>4.7E-2</v>
      </c>
      <c r="H39" s="39">
        <v>1.6</v>
      </c>
      <c r="I39" s="39">
        <v>0.86</v>
      </c>
      <c r="J39" s="39">
        <v>0.47499999999999998</v>
      </c>
      <c r="K39" s="41">
        <v>1.38E-2</v>
      </c>
      <c r="L39" s="39">
        <v>0</v>
      </c>
      <c r="M39" s="39">
        <v>0</v>
      </c>
      <c r="N39" s="39">
        <v>0</v>
      </c>
      <c r="O39" s="39">
        <v>0</v>
      </c>
      <c r="P39" s="41">
        <v>0.109289617486339</v>
      </c>
      <c r="Q39" s="41">
        <v>0.86</v>
      </c>
      <c r="R39" s="41">
        <v>0.47499999999999998</v>
      </c>
      <c r="S39" s="41">
        <v>1.38E-2</v>
      </c>
      <c r="T39" s="41">
        <v>0.16393442622950799</v>
      </c>
      <c r="U39" s="39">
        <v>1</v>
      </c>
      <c r="V39" s="39">
        <v>0.4</v>
      </c>
      <c r="W39" s="41">
        <v>1.18E-2</v>
      </c>
      <c r="X39" s="41">
        <v>1</v>
      </c>
      <c r="Y39" s="41">
        <v>0.75</v>
      </c>
      <c r="Z39" s="39">
        <v>-40</v>
      </c>
      <c r="AA39" s="39">
        <v>0.25</v>
      </c>
      <c r="AB39" s="38">
        <v>-160</v>
      </c>
      <c r="AC39" s="38">
        <v>-160</v>
      </c>
      <c r="AD39" s="38">
        <v>-160</v>
      </c>
      <c r="AE39" s="38">
        <v>40</v>
      </c>
      <c r="AF39" s="38">
        <v>100</v>
      </c>
      <c r="AG39" s="38">
        <f>'HU-MOD-2-Parameters_FTLZ'!J$39</f>
        <v>74.032672911940949</v>
      </c>
    </row>
    <row r="40" spans="1:33" x14ac:dyDescent="0.25">
      <c r="A40" s="38">
        <v>1042</v>
      </c>
      <c r="B40" s="34">
        <v>2</v>
      </c>
      <c r="C40" s="38" t="s">
        <v>115</v>
      </c>
      <c r="D40" s="38" t="s">
        <v>453</v>
      </c>
      <c r="E40" s="39">
        <v>0.86</v>
      </c>
      <c r="F40" s="39">
        <v>0.47</v>
      </c>
      <c r="G40" s="41">
        <v>4.07E-2</v>
      </c>
      <c r="H40" s="39">
        <v>1.5</v>
      </c>
      <c r="I40" s="39">
        <v>0.86</v>
      </c>
      <c r="J40" s="39">
        <v>0.47499999999999998</v>
      </c>
      <c r="K40" s="41">
        <v>1.7600000000000001E-2</v>
      </c>
      <c r="L40" s="39">
        <v>0</v>
      </c>
      <c r="M40" s="39">
        <v>0</v>
      </c>
      <c r="N40" s="39">
        <v>0</v>
      </c>
      <c r="O40" s="39">
        <v>0</v>
      </c>
      <c r="P40" s="41">
        <v>5.10204081632653E-2</v>
      </c>
      <c r="Q40" s="41">
        <v>0.86</v>
      </c>
      <c r="R40" s="41">
        <v>0.47499999999999998</v>
      </c>
      <c r="S40" s="41">
        <v>1.7600000000000001E-2</v>
      </c>
      <c r="T40" s="41">
        <v>0.102040816326531</v>
      </c>
      <c r="U40" s="39">
        <v>1</v>
      </c>
      <c r="V40" s="39">
        <v>0.4</v>
      </c>
      <c r="W40" s="41">
        <v>2.7900000000000001E-2</v>
      </c>
      <c r="X40" s="41">
        <v>1</v>
      </c>
      <c r="Y40" s="41">
        <v>0.8</v>
      </c>
      <c r="Z40" s="39">
        <v>-40</v>
      </c>
      <c r="AA40" s="39">
        <v>0.25</v>
      </c>
      <c r="AB40" s="38">
        <v>-160</v>
      </c>
      <c r="AC40" s="38">
        <v>-160</v>
      </c>
      <c r="AD40" s="38">
        <v>-160</v>
      </c>
      <c r="AE40" s="38">
        <v>35</v>
      </c>
      <c r="AF40" s="38">
        <v>100</v>
      </c>
      <c r="AG40" s="38">
        <f>'HU-MOD-2-Parameters_FTLZ'!J$39</f>
        <v>74.032672911940949</v>
      </c>
    </row>
    <row r="41" spans="1:33" x14ac:dyDescent="0.25">
      <c r="A41" s="38">
        <v>1043</v>
      </c>
      <c r="B41" s="34">
        <v>30</v>
      </c>
      <c r="C41" s="38" t="s">
        <v>116</v>
      </c>
      <c r="D41" s="38" t="s">
        <v>117</v>
      </c>
      <c r="E41" s="39">
        <v>0.86</v>
      </c>
      <c r="F41" s="39">
        <v>0.47</v>
      </c>
      <c r="G41" s="41">
        <v>4.7E-2</v>
      </c>
      <c r="H41" s="39">
        <v>1.6</v>
      </c>
      <c r="I41" s="39">
        <v>0.86</v>
      </c>
      <c r="J41" s="39">
        <v>0.47499999999999998</v>
      </c>
      <c r="K41" s="41">
        <v>1.38E-2</v>
      </c>
      <c r="L41" s="39">
        <v>0</v>
      </c>
      <c r="M41" s="39">
        <v>0</v>
      </c>
      <c r="N41" s="39">
        <v>0</v>
      </c>
      <c r="O41" s="39">
        <v>0</v>
      </c>
      <c r="P41" s="41">
        <v>0.109289617486339</v>
      </c>
      <c r="Q41" s="41">
        <v>0.86</v>
      </c>
      <c r="R41" s="41">
        <v>0.47499999999999998</v>
      </c>
      <c r="S41" s="41">
        <v>1.38E-2</v>
      </c>
      <c r="T41" s="41">
        <v>0.16393442622950799</v>
      </c>
      <c r="U41" s="39">
        <v>1</v>
      </c>
      <c r="V41" s="39">
        <v>0.4</v>
      </c>
      <c r="W41" s="41">
        <v>1.18E-2</v>
      </c>
      <c r="X41" s="41">
        <v>1</v>
      </c>
      <c r="Y41" s="41">
        <v>0.5</v>
      </c>
      <c r="Z41" s="39">
        <v>-40</v>
      </c>
      <c r="AA41" s="39">
        <v>0.25</v>
      </c>
      <c r="AB41" s="38">
        <v>-160</v>
      </c>
      <c r="AC41" s="38">
        <v>-160</v>
      </c>
      <c r="AD41" s="38">
        <v>-160</v>
      </c>
      <c r="AE41" s="38">
        <v>35</v>
      </c>
      <c r="AF41" s="38">
        <v>100</v>
      </c>
      <c r="AG41" s="38">
        <f>'HU-MOD-2-Parameters_FTLZ'!J$39</f>
        <v>74.032672911940949</v>
      </c>
    </row>
    <row r="42" spans="1:33" x14ac:dyDescent="0.25">
      <c r="A42" s="38">
        <v>1044</v>
      </c>
      <c r="B42"/>
      <c r="C42" s="38" t="s">
        <v>118</v>
      </c>
      <c r="D42" s="38" t="s">
        <v>119</v>
      </c>
      <c r="E42" s="39">
        <v>0.86</v>
      </c>
      <c r="F42" s="39">
        <v>0.47</v>
      </c>
      <c r="G42" s="41">
        <v>4.7E-2</v>
      </c>
      <c r="H42" s="39">
        <v>1.5</v>
      </c>
      <c r="I42" s="39">
        <v>0.86</v>
      </c>
      <c r="J42" s="39">
        <v>0.47499999999999998</v>
      </c>
      <c r="K42" s="41">
        <v>1.7000000000000001E-2</v>
      </c>
      <c r="L42" s="39">
        <v>0</v>
      </c>
      <c r="M42" s="39">
        <v>0</v>
      </c>
      <c r="N42" s="39">
        <v>0</v>
      </c>
      <c r="O42" s="39">
        <v>0</v>
      </c>
      <c r="P42" s="41">
        <v>5.10204081632653E-2</v>
      </c>
      <c r="Q42" s="41">
        <v>0.86</v>
      </c>
      <c r="R42" s="41">
        <v>0.47499999999999998</v>
      </c>
      <c r="S42" s="41">
        <v>1.7000000000000001E-2</v>
      </c>
      <c r="T42" s="41">
        <v>0.102040816326531</v>
      </c>
      <c r="U42" s="39">
        <v>1</v>
      </c>
      <c r="V42" s="39">
        <v>0.4</v>
      </c>
      <c r="W42" s="41">
        <v>1.18E-2</v>
      </c>
      <c r="X42" s="41">
        <v>1</v>
      </c>
      <c r="Y42" s="41">
        <v>0.75</v>
      </c>
      <c r="Z42" s="39">
        <v>-40</v>
      </c>
      <c r="AA42" s="39">
        <v>0.25</v>
      </c>
      <c r="AB42" s="38">
        <v>-160</v>
      </c>
      <c r="AC42" s="38">
        <v>-160</v>
      </c>
      <c r="AD42" s="38">
        <v>-160</v>
      </c>
      <c r="AE42" s="38">
        <v>35</v>
      </c>
      <c r="AF42" s="38">
        <v>100</v>
      </c>
      <c r="AG42" s="38">
        <f>'HU-MOD-2-Parameters_FTLZ'!J$39</f>
        <v>74.032672911940949</v>
      </c>
    </row>
    <row r="43" spans="1:33" x14ac:dyDescent="0.25">
      <c r="A43" s="38">
        <v>1050</v>
      </c>
      <c r="B43" s="34">
        <v>11</v>
      </c>
      <c r="C43" s="38" t="s">
        <v>120</v>
      </c>
      <c r="D43" s="38" t="s">
        <v>454</v>
      </c>
      <c r="E43" s="39">
        <v>0.2</v>
      </c>
      <c r="F43" s="39">
        <v>0.46</v>
      </c>
      <c r="G43" s="41">
        <v>2.86E-2</v>
      </c>
      <c r="H43" s="39">
        <v>0</v>
      </c>
      <c r="I43" s="39"/>
      <c r="J43" s="39">
        <v>0.46</v>
      </c>
      <c r="K43" s="41">
        <v>2.86E-2</v>
      </c>
      <c r="L43" s="39">
        <v>0</v>
      </c>
      <c r="M43" s="39">
        <v>0</v>
      </c>
      <c r="N43" s="39">
        <v>0</v>
      </c>
      <c r="O43" s="39">
        <v>0</v>
      </c>
      <c r="P43" s="41">
        <v>0.2</v>
      </c>
      <c r="Q43" s="41"/>
      <c r="R43" s="41">
        <v>0.46</v>
      </c>
      <c r="S43" s="41">
        <v>2.86E-2</v>
      </c>
      <c r="T43" s="41">
        <v>1</v>
      </c>
      <c r="U43" s="39">
        <v>1</v>
      </c>
      <c r="V43" s="39">
        <v>0.4</v>
      </c>
      <c r="W43" s="41">
        <v>2.0400000000000001E-2</v>
      </c>
      <c r="X43" s="41">
        <v>0.75</v>
      </c>
      <c r="Y43" s="41">
        <v>0.85</v>
      </c>
      <c r="Z43" s="39">
        <v>0</v>
      </c>
      <c r="AA43" s="39">
        <v>0.25</v>
      </c>
      <c r="AB43" s="38">
        <v>-700</v>
      </c>
      <c r="AC43" s="38">
        <v>-700</v>
      </c>
      <c r="AD43" s="38">
        <v>-700</v>
      </c>
      <c r="AE43" s="38">
        <v>500</v>
      </c>
      <c r="AF43" s="38">
        <v>0</v>
      </c>
      <c r="AG43" s="38">
        <f>'HU-MOD-2-Parameters_FTLZ'!J$28</f>
        <v>39.412325979289278</v>
      </c>
    </row>
    <row r="44" spans="1:33" x14ac:dyDescent="0.25">
      <c r="A44" s="38">
        <v>1051</v>
      </c>
      <c r="B44" s="34">
        <v>11</v>
      </c>
      <c r="C44" s="38" t="s">
        <v>121</v>
      </c>
      <c r="D44" s="38" t="s">
        <v>455</v>
      </c>
      <c r="E44" s="39">
        <v>0.2</v>
      </c>
      <c r="F44" s="39">
        <v>0.46</v>
      </c>
      <c r="G44" s="41">
        <v>2.86E-2</v>
      </c>
      <c r="H44" s="39">
        <v>0</v>
      </c>
      <c r="I44" s="39"/>
      <c r="J44" s="39">
        <v>0.46</v>
      </c>
      <c r="K44" s="41">
        <v>2.86E-2</v>
      </c>
      <c r="L44" s="39">
        <v>0</v>
      </c>
      <c r="M44" s="39">
        <v>0</v>
      </c>
      <c r="N44" s="39">
        <v>0</v>
      </c>
      <c r="O44" s="39">
        <v>0</v>
      </c>
      <c r="P44" s="41">
        <v>0.2</v>
      </c>
      <c r="Q44" s="41"/>
      <c r="R44" s="41">
        <v>0.46</v>
      </c>
      <c r="S44" s="41">
        <v>2.86E-2</v>
      </c>
      <c r="T44" s="41">
        <v>1</v>
      </c>
      <c r="U44" s="39">
        <v>1</v>
      </c>
      <c r="V44" s="39">
        <v>0.4</v>
      </c>
      <c r="W44" s="41">
        <v>2.0400000000000001E-2</v>
      </c>
      <c r="X44" s="41">
        <v>0.75</v>
      </c>
      <c r="Y44" s="41">
        <v>0.85</v>
      </c>
      <c r="Z44" s="39">
        <v>0</v>
      </c>
      <c r="AA44" s="39">
        <v>0.25</v>
      </c>
      <c r="AB44" s="38">
        <v>-700</v>
      </c>
      <c r="AC44" s="38">
        <v>-700</v>
      </c>
      <c r="AD44" s="38">
        <v>-700</v>
      </c>
      <c r="AE44" s="38">
        <v>500</v>
      </c>
      <c r="AF44" s="38">
        <v>0</v>
      </c>
      <c r="AG44" s="38">
        <f>'HU-MOD-2-Parameters_FTLZ'!J$28</f>
        <v>39.412325979289278</v>
      </c>
    </row>
    <row r="45" spans="1:33" x14ac:dyDescent="0.25">
      <c r="A45">
        <v>1052</v>
      </c>
      <c r="B45"/>
      <c r="C45" t="s">
        <v>216</v>
      </c>
      <c r="D45" s="38" t="s">
        <v>460</v>
      </c>
      <c r="E45" s="39">
        <v>0.2</v>
      </c>
      <c r="F45" s="39">
        <v>0.46</v>
      </c>
      <c r="G45" s="41">
        <v>2.86E-2</v>
      </c>
      <c r="H45" s="39">
        <v>0</v>
      </c>
      <c r="I45" s="39"/>
      <c r="J45" s="39">
        <v>0.46</v>
      </c>
      <c r="K45" s="41">
        <v>2.86E-2</v>
      </c>
      <c r="L45" s="39">
        <v>0</v>
      </c>
      <c r="M45" s="39">
        <v>0</v>
      </c>
      <c r="N45" s="39">
        <v>0</v>
      </c>
      <c r="O45" s="39">
        <v>0</v>
      </c>
      <c r="P45" s="41">
        <v>0.2</v>
      </c>
      <c r="Q45" s="41"/>
      <c r="R45" s="41">
        <v>0.46</v>
      </c>
      <c r="S45" s="41">
        <v>2.86E-2</v>
      </c>
      <c r="T45" s="41">
        <v>1</v>
      </c>
      <c r="U45" s="39">
        <v>1</v>
      </c>
      <c r="V45" s="39">
        <v>0.4</v>
      </c>
      <c r="W45" s="41">
        <v>2.0400000000000001E-2</v>
      </c>
      <c r="X45" s="41">
        <v>0</v>
      </c>
      <c r="Y45" s="41">
        <v>0.85</v>
      </c>
      <c r="Z45" s="39">
        <v>0</v>
      </c>
      <c r="AA45" s="39">
        <v>0.25</v>
      </c>
      <c r="AB45" s="38">
        <v>-700</v>
      </c>
      <c r="AC45" s="38">
        <v>-700</v>
      </c>
      <c r="AD45" s="38">
        <v>-700</v>
      </c>
      <c r="AE45" s="38">
        <v>500</v>
      </c>
      <c r="AF45" s="38">
        <v>0</v>
      </c>
      <c r="AG45" s="38">
        <f>'HU-MOD-2-Parameters_FTLZ'!J$28</f>
        <v>39.412325979289278</v>
      </c>
    </row>
    <row r="46" spans="1:33" x14ac:dyDescent="0.25">
      <c r="B46"/>
      <c r="C46"/>
      <c r="D46"/>
      <c r="E46" s="39"/>
      <c r="F46" s="39"/>
      <c r="G46" s="41"/>
      <c r="H46" s="39"/>
      <c r="I46" s="39"/>
      <c r="J46" s="39"/>
      <c r="K46" s="41"/>
      <c r="L46" s="39"/>
      <c r="M46" s="39"/>
      <c r="N46" s="39"/>
      <c r="O46" s="39"/>
      <c r="P46" s="41"/>
      <c r="Q46" s="41"/>
      <c r="R46" s="41"/>
      <c r="S46" s="41"/>
      <c r="T46" s="41"/>
      <c r="U46" s="39"/>
      <c r="V46" s="39"/>
      <c r="W46" s="41"/>
      <c r="X46" s="41"/>
      <c r="Y46" s="41"/>
      <c r="Z46" s="39"/>
      <c r="AA46" s="39"/>
    </row>
    <row r="47" spans="1:33" x14ac:dyDescent="0.25">
      <c r="B47"/>
      <c r="C47"/>
      <c r="D47"/>
      <c r="E47" s="39"/>
      <c r="F47" s="39"/>
      <c r="G47" s="41"/>
      <c r="H47" s="39"/>
      <c r="I47" s="39"/>
      <c r="J47" s="39"/>
      <c r="K47" s="41"/>
      <c r="L47" s="39"/>
      <c r="M47" s="39"/>
      <c r="N47" s="39"/>
      <c r="O47" s="39"/>
      <c r="P47" s="41"/>
      <c r="Q47" s="41"/>
      <c r="R47" s="41"/>
      <c r="S47" s="41"/>
      <c r="T47" s="41"/>
      <c r="U47" s="39"/>
      <c r="V47" s="39"/>
      <c r="W47" s="41"/>
      <c r="X47" s="41"/>
      <c r="Y47" s="41"/>
      <c r="Z47" s="39"/>
      <c r="AA47" s="39"/>
    </row>
    <row r="48" spans="1:33" x14ac:dyDescent="0.25">
      <c r="B48"/>
      <c r="C48"/>
      <c r="D48"/>
      <c r="E48" s="39"/>
      <c r="F48" s="39"/>
      <c r="G48" s="41"/>
      <c r="H48" s="39"/>
      <c r="I48" s="39"/>
      <c r="J48" s="39"/>
      <c r="K48" s="41"/>
      <c r="L48" s="39"/>
      <c r="M48" s="39"/>
      <c r="N48" s="39"/>
      <c r="O48" s="39"/>
      <c r="P48" s="41"/>
      <c r="Q48" s="41"/>
      <c r="R48" s="41"/>
      <c r="S48" s="41"/>
      <c r="T48" s="41"/>
      <c r="U48" s="39"/>
      <c r="V48" s="39"/>
      <c r="W48" s="41"/>
      <c r="X48" s="41"/>
      <c r="Y48" s="41"/>
      <c r="Z48" s="39"/>
      <c r="AA48" s="39"/>
    </row>
    <row r="49" spans="1:33" x14ac:dyDescent="0.25">
      <c r="B49"/>
      <c r="C49"/>
      <c r="D49"/>
      <c r="E49" s="39"/>
      <c r="F49" s="39"/>
      <c r="G49" s="41"/>
      <c r="H49" s="39"/>
      <c r="I49" s="39"/>
      <c r="J49" s="39"/>
      <c r="K49" s="41"/>
      <c r="L49" s="39"/>
      <c r="M49" s="39"/>
      <c r="N49" s="39"/>
      <c r="O49" s="39"/>
      <c r="P49" s="41"/>
      <c r="Q49" s="41"/>
      <c r="R49" s="41"/>
      <c r="S49" s="41"/>
      <c r="T49" s="41"/>
      <c r="U49" s="39"/>
      <c r="V49" s="39"/>
      <c r="W49" s="41"/>
      <c r="X49" s="41"/>
      <c r="Y49" s="41"/>
      <c r="Z49" s="39"/>
      <c r="AA49" s="39"/>
    </row>
    <row r="50" spans="1:33" x14ac:dyDescent="0.25">
      <c r="B50"/>
      <c r="C50"/>
      <c r="D50"/>
      <c r="E50" s="39"/>
      <c r="F50" s="39"/>
      <c r="G50" s="41"/>
      <c r="H50" s="39"/>
      <c r="I50" s="39"/>
      <c r="J50" s="39"/>
      <c r="K50" s="41"/>
      <c r="L50" s="39"/>
      <c r="M50" s="39"/>
      <c r="N50" s="39"/>
      <c r="O50" s="39"/>
      <c r="P50" s="41"/>
      <c r="Q50" s="41"/>
      <c r="R50" s="41"/>
      <c r="S50" s="41"/>
      <c r="T50" s="41"/>
      <c r="U50" s="39"/>
      <c r="V50" s="39"/>
      <c r="W50" s="41"/>
      <c r="X50" s="41"/>
      <c r="Y50" s="41"/>
      <c r="Z50" s="39"/>
      <c r="AA50" s="39"/>
    </row>
    <row r="51" spans="1:33" x14ac:dyDescent="0.25">
      <c r="B51"/>
      <c r="C51"/>
      <c r="D51"/>
      <c r="E51" s="39"/>
      <c r="F51" s="39"/>
      <c r="G51" s="41"/>
      <c r="H51" s="39"/>
      <c r="I51" s="39"/>
      <c r="J51" s="39"/>
      <c r="K51" s="41"/>
      <c r="L51" s="39"/>
      <c r="M51" s="39"/>
      <c r="N51" s="39"/>
      <c r="O51" s="39"/>
      <c r="P51" s="41"/>
      <c r="Q51" s="41"/>
      <c r="R51" s="41"/>
      <c r="S51" s="41"/>
      <c r="T51" s="41"/>
      <c r="U51" s="39"/>
      <c r="V51" s="39"/>
      <c r="W51" s="41"/>
      <c r="X51" s="41"/>
      <c r="Y51" s="41"/>
      <c r="Z51" s="39"/>
      <c r="AA51" s="39"/>
    </row>
    <row r="52" spans="1:33" x14ac:dyDescent="0.25">
      <c r="B52"/>
      <c r="C52"/>
      <c r="D52"/>
      <c r="E52" s="39"/>
      <c r="F52" s="39"/>
      <c r="G52" s="41"/>
      <c r="H52" s="39"/>
      <c r="I52" s="39"/>
      <c r="J52" s="39"/>
      <c r="K52" s="41"/>
      <c r="L52" s="39"/>
      <c r="M52" s="39"/>
      <c r="N52" s="39"/>
      <c r="O52" s="39"/>
      <c r="P52" s="41"/>
      <c r="Q52" s="41"/>
      <c r="R52" s="41"/>
      <c r="S52" s="41"/>
      <c r="T52" s="41"/>
      <c r="U52" s="39"/>
      <c r="V52" s="39"/>
      <c r="W52" s="41"/>
      <c r="X52" s="41"/>
      <c r="Y52" s="41"/>
      <c r="Z52" s="39"/>
      <c r="AA52" s="39"/>
    </row>
    <row r="53" spans="1:33" x14ac:dyDescent="0.25">
      <c r="B53"/>
      <c r="C53"/>
      <c r="D53"/>
      <c r="E53" s="39"/>
      <c r="F53" s="39"/>
      <c r="G53" s="41"/>
      <c r="H53" s="39"/>
      <c r="I53" s="39"/>
      <c r="J53" s="39"/>
      <c r="K53" s="41"/>
      <c r="L53" s="39"/>
      <c r="M53" s="39"/>
      <c r="N53" s="39"/>
      <c r="O53" s="39"/>
      <c r="P53" s="41"/>
      <c r="Q53" s="41"/>
      <c r="R53" s="41"/>
      <c r="S53" s="41"/>
      <c r="T53" s="41"/>
      <c r="U53" s="39"/>
      <c r="V53" s="39"/>
      <c r="W53" s="41"/>
      <c r="X53" s="41"/>
      <c r="Y53" s="41"/>
      <c r="Z53" s="39"/>
      <c r="AA53" s="39"/>
    </row>
    <row r="54" spans="1:33" x14ac:dyDescent="0.25">
      <c r="B54"/>
      <c r="C54"/>
      <c r="D54"/>
      <c r="E54" s="39"/>
      <c r="F54" s="39"/>
      <c r="G54" s="41"/>
      <c r="H54" s="39"/>
      <c r="I54" s="39"/>
      <c r="J54" s="39"/>
      <c r="K54" s="41"/>
      <c r="L54" s="39"/>
      <c r="M54" s="39"/>
      <c r="N54" s="39"/>
      <c r="O54" s="39"/>
      <c r="P54" s="41"/>
      <c r="Q54" s="41"/>
      <c r="R54" s="41"/>
      <c r="S54" s="41"/>
      <c r="T54" s="41"/>
      <c r="U54" s="39"/>
      <c r="V54" s="39"/>
      <c r="W54" s="41"/>
      <c r="X54" s="41"/>
      <c r="Y54" s="41"/>
      <c r="Z54" s="39"/>
      <c r="AA54" s="39"/>
    </row>
    <row r="55" spans="1:33" x14ac:dyDescent="0.25">
      <c r="B55"/>
      <c r="C55"/>
      <c r="D55"/>
      <c r="E55" s="39"/>
      <c r="F55" s="39"/>
      <c r="G55" s="41"/>
      <c r="H55" s="39"/>
      <c r="I55" s="39"/>
      <c r="J55" s="39"/>
      <c r="K55" s="41"/>
      <c r="L55" s="39"/>
      <c r="M55" s="39"/>
      <c r="N55" s="39"/>
      <c r="O55" s="39"/>
      <c r="P55" s="41"/>
      <c r="Q55" s="41"/>
      <c r="R55" s="41"/>
      <c r="S55" s="41"/>
      <c r="T55" s="41"/>
      <c r="U55" s="39"/>
      <c r="V55" s="39"/>
      <c r="W55" s="41"/>
      <c r="X55" s="41"/>
      <c r="Y55" s="41"/>
      <c r="Z55" s="39"/>
      <c r="AA55" s="39"/>
    </row>
    <row r="56" spans="1:33" x14ac:dyDescent="0.25">
      <c r="B56"/>
      <c r="C56"/>
      <c r="D56"/>
      <c r="E56" s="39"/>
      <c r="F56" s="39"/>
      <c r="G56" s="41"/>
      <c r="H56" s="39"/>
      <c r="I56" s="39"/>
      <c r="J56" s="39"/>
      <c r="K56" s="41"/>
      <c r="L56" s="39"/>
      <c r="M56" s="39"/>
      <c r="N56" s="39"/>
      <c r="O56" s="39"/>
      <c r="P56" s="41"/>
      <c r="Q56" s="41"/>
      <c r="R56" s="41"/>
      <c r="S56" s="41"/>
      <c r="T56" s="41"/>
      <c r="U56" s="39"/>
      <c r="V56" s="39"/>
      <c r="W56" s="41"/>
      <c r="X56" s="41"/>
      <c r="Y56" s="41"/>
      <c r="Z56" s="39"/>
      <c r="AA56" s="39"/>
    </row>
    <row r="57" spans="1:33" x14ac:dyDescent="0.25">
      <c r="B57"/>
      <c r="C57"/>
      <c r="D57"/>
      <c r="E57" s="39"/>
      <c r="F57" s="39"/>
      <c r="G57" s="41"/>
      <c r="H57" s="39"/>
      <c r="I57" s="39"/>
      <c r="J57" s="39"/>
      <c r="K57" s="41"/>
      <c r="L57" s="39"/>
      <c r="M57" s="39"/>
      <c r="N57" s="39"/>
      <c r="O57" s="39"/>
      <c r="P57" s="41"/>
      <c r="Q57" s="41"/>
      <c r="R57" s="41"/>
      <c r="S57" s="41"/>
      <c r="T57" s="41"/>
      <c r="U57" s="39"/>
      <c r="V57" s="39"/>
      <c r="W57" s="41"/>
      <c r="X57" s="41"/>
      <c r="Y57" s="41"/>
      <c r="Z57" s="39"/>
      <c r="AA57" s="39"/>
    </row>
    <row r="58" spans="1:33" x14ac:dyDescent="0.25">
      <c r="B58"/>
      <c r="C58"/>
      <c r="D58"/>
      <c r="E58" s="39"/>
      <c r="F58" s="39"/>
      <c r="G58" s="41"/>
      <c r="H58" s="39"/>
      <c r="I58" s="39"/>
      <c r="J58" s="39"/>
      <c r="K58" s="41"/>
      <c r="L58" s="39"/>
      <c r="M58" s="39"/>
      <c r="N58" s="39"/>
      <c r="O58" s="39"/>
      <c r="P58" s="41"/>
      <c r="Q58" s="41"/>
      <c r="R58" s="41"/>
      <c r="S58" s="41"/>
      <c r="T58" s="41"/>
      <c r="U58" s="39"/>
      <c r="V58" s="39"/>
      <c r="W58" s="41"/>
      <c r="X58" s="41"/>
      <c r="Y58" s="41"/>
      <c r="Z58" s="39"/>
      <c r="AA58" s="39"/>
    </row>
    <row r="59" spans="1:33" x14ac:dyDescent="0.25">
      <c r="A59" s="38">
        <v>1059</v>
      </c>
      <c r="B59"/>
      <c r="C59" s="38" t="s">
        <v>122</v>
      </c>
      <c r="D59" s="38" t="s">
        <v>123</v>
      </c>
      <c r="E59" s="39">
        <v>0.2</v>
      </c>
      <c r="F59" s="39">
        <v>0.46</v>
      </c>
      <c r="G59" s="41">
        <v>2.86E-2</v>
      </c>
      <c r="H59" s="39">
        <v>0</v>
      </c>
      <c r="I59" s="39"/>
      <c r="J59" s="39">
        <v>0.46</v>
      </c>
      <c r="K59" s="41">
        <v>2.86E-2</v>
      </c>
      <c r="L59" s="39">
        <v>0</v>
      </c>
      <c r="M59" s="39">
        <v>0</v>
      </c>
      <c r="N59" s="39">
        <v>0</v>
      </c>
      <c r="O59" s="39">
        <v>0</v>
      </c>
      <c r="P59" s="41">
        <v>0.2</v>
      </c>
      <c r="Q59" s="41"/>
      <c r="R59" s="41">
        <v>0.46</v>
      </c>
      <c r="S59" s="41">
        <v>2.86E-2</v>
      </c>
      <c r="T59" s="41">
        <v>1</v>
      </c>
      <c r="U59" s="39">
        <v>1</v>
      </c>
      <c r="V59" s="39">
        <v>0.4</v>
      </c>
      <c r="W59" s="41">
        <v>2.0400000000000001E-2</v>
      </c>
      <c r="X59" s="41">
        <v>0.1</v>
      </c>
      <c r="Y59" s="41">
        <v>0.85</v>
      </c>
      <c r="Z59" s="39">
        <v>0</v>
      </c>
      <c r="AA59" s="39">
        <v>0.25</v>
      </c>
    </row>
    <row r="60" spans="1:33" x14ac:dyDescent="0.25">
      <c r="A60" s="38">
        <v>1060</v>
      </c>
      <c r="B60"/>
      <c r="C60" s="40" t="s">
        <v>124</v>
      </c>
      <c r="D60" s="40" t="s">
        <v>125</v>
      </c>
      <c r="E60" s="39">
        <v>0.2</v>
      </c>
      <c r="F60" s="39">
        <v>0.44</v>
      </c>
      <c r="G60" s="41">
        <v>2.8000000000000001E-2</v>
      </c>
      <c r="H60" s="39">
        <v>0</v>
      </c>
      <c r="I60" s="39"/>
      <c r="J60" s="39">
        <v>0.46</v>
      </c>
      <c r="K60" s="41">
        <v>0.03</v>
      </c>
      <c r="L60" s="39">
        <v>0</v>
      </c>
      <c r="M60" s="39">
        <v>0</v>
      </c>
      <c r="N60" s="39">
        <v>0</v>
      </c>
      <c r="O60" s="39">
        <v>0</v>
      </c>
      <c r="P60" s="41">
        <v>0.17636684303351</v>
      </c>
      <c r="Q60" s="41"/>
      <c r="R60" s="41">
        <v>0.46</v>
      </c>
      <c r="S60" s="41">
        <v>0.03</v>
      </c>
      <c r="T60" s="41">
        <v>0.37037037037037002</v>
      </c>
      <c r="U60" s="39">
        <v>1</v>
      </c>
      <c r="V60" s="39">
        <v>0.4</v>
      </c>
      <c r="W60" s="41">
        <v>8.0000000000000002E-3</v>
      </c>
      <c r="X60" s="41">
        <v>0</v>
      </c>
      <c r="Y60" s="41">
        <v>0</v>
      </c>
      <c r="Z60" s="39">
        <v>40</v>
      </c>
      <c r="AA60" s="39">
        <v>0.25</v>
      </c>
      <c r="AB60" s="38">
        <v>-140</v>
      </c>
      <c r="AC60" s="38">
        <v>-140</v>
      </c>
      <c r="AD60" s="38">
        <v>-140</v>
      </c>
      <c r="AE60" s="38">
        <v>100</v>
      </c>
      <c r="AF60" s="38">
        <v>0</v>
      </c>
      <c r="AG60" s="38">
        <f>'HU-MOD-2-Parameters_FTLZ'!J$28</f>
        <v>39.412325979289278</v>
      </c>
    </row>
    <row r="61" spans="1:33" x14ac:dyDescent="0.25">
      <c r="A61" s="38">
        <v>1061</v>
      </c>
      <c r="B61" s="34">
        <v>27</v>
      </c>
      <c r="C61" s="40" t="s">
        <v>126</v>
      </c>
      <c r="D61" s="40" t="s">
        <v>127</v>
      </c>
      <c r="E61" s="39">
        <v>0.2</v>
      </c>
      <c r="F61" s="39">
        <v>0.44</v>
      </c>
      <c r="G61" s="41">
        <v>2.8000000000000001E-2</v>
      </c>
      <c r="H61" s="39">
        <v>0</v>
      </c>
      <c r="I61" s="39"/>
      <c r="J61" s="39">
        <v>0.46</v>
      </c>
      <c r="K61" s="41">
        <v>0.03</v>
      </c>
      <c r="L61" s="39">
        <v>0</v>
      </c>
      <c r="M61" s="39">
        <v>0</v>
      </c>
      <c r="N61" s="39">
        <v>0</v>
      </c>
      <c r="O61" s="39">
        <v>0</v>
      </c>
      <c r="P61" s="41">
        <v>0.17636684303351</v>
      </c>
      <c r="Q61" s="41"/>
      <c r="R61" s="41">
        <v>0.46</v>
      </c>
      <c r="S61" s="41">
        <v>0.03</v>
      </c>
      <c r="T61" s="41">
        <v>0.37037037037037002</v>
      </c>
      <c r="U61" s="39">
        <v>1</v>
      </c>
      <c r="V61" s="39">
        <v>0.4</v>
      </c>
      <c r="W61" s="41">
        <v>8.0000000000000002E-3</v>
      </c>
      <c r="X61" s="41">
        <v>0</v>
      </c>
      <c r="Y61" s="41">
        <v>0</v>
      </c>
      <c r="Z61" s="39">
        <v>40</v>
      </c>
      <c r="AA61" s="39">
        <v>0.25</v>
      </c>
      <c r="AB61" s="38">
        <v>-100</v>
      </c>
      <c r="AC61" s="38">
        <v>-100</v>
      </c>
      <c r="AD61" s="38">
        <v>-100</v>
      </c>
      <c r="AE61" s="38">
        <v>100</v>
      </c>
      <c r="AF61" s="38">
        <v>0</v>
      </c>
      <c r="AG61" s="38">
        <f>'HU-MOD-2-Parameters_FTLZ'!J$28</f>
        <v>39.412325979289278</v>
      </c>
    </row>
    <row r="62" spans="1:33" x14ac:dyDescent="0.25">
      <c r="A62" s="38">
        <v>1070</v>
      </c>
      <c r="B62" s="34">
        <v>19</v>
      </c>
      <c r="C62" s="38" t="s">
        <v>128</v>
      </c>
      <c r="D62" s="38" t="s">
        <v>129</v>
      </c>
      <c r="E62" s="39">
        <v>0.2</v>
      </c>
      <c r="F62" s="39">
        <v>0.46</v>
      </c>
      <c r="G62" s="41">
        <v>0.03</v>
      </c>
      <c r="H62" s="39">
        <v>0</v>
      </c>
      <c r="I62" s="39"/>
      <c r="J62" s="39">
        <v>0.46</v>
      </c>
      <c r="K62" s="41">
        <v>0.03</v>
      </c>
      <c r="L62" s="39">
        <v>0</v>
      </c>
      <c r="M62" s="39">
        <v>0</v>
      </c>
      <c r="N62" s="39">
        <v>0</v>
      </c>
      <c r="O62" s="39">
        <v>0</v>
      </c>
      <c r="P62" s="41">
        <v>0.23529411764705899</v>
      </c>
      <c r="Q62" s="41"/>
      <c r="R62" s="41">
        <v>0.46</v>
      </c>
      <c r="S62" s="41">
        <v>0.03</v>
      </c>
      <c r="T62" s="41">
        <v>0.58823529411764697</v>
      </c>
      <c r="U62" s="39">
        <v>1</v>
      </c>
      <c r="V62" s="39">
        <v>0.4</v>
      </c>
      <c r="W62" s="41">
        <v>2.1399999999999999E-2</v>
      </c>
      <c r="X62" s="41">
        <v>0.75</v>
      </c>
      <c r="Y62" s="41">
        <v>0.85</v>
      </c>
      <c r="Z62" s="39">
        <v>0</v>
      </c>
      <c r="AA62" s="39">
        <v>0.25</v>
      </c>
      <c r="AB62" s="38">
        <v>-140</v>
      </c>
      <c r="AC62" s="38">
        <v>-140</v>
      </c>
      <c r="AD62" s="38">
        <v>-140</v>
      </c>
      <c r="AE62" s="38">
        <v>80</v>
      </c>
      <c r="AF62" s="38">
        <v>0</v>
      </c>
      <c r="AG62" s="38">
        <f>'HU-MOD-2-Parameters_FTLZ'!J$28</f>
        <v>39.412325979289278</v>
      </c>
    </row>
    <row r="63" spans="1:33" x14ac:dyDescent="0.25">
      <c r="B63"/>
      <c r="C63"/>
      <c r="D63"/>
      <c r="E63" s="39"/>
      <c r="F63" s="39"/>
      <c r="G63" s="41"/>
      <c r="H63" s="39"/>
      <c r="I63" s="39"/>
      <c r="J63" s="39"/>
      <c r="K63" s="41"/>
      <c r="L63" s="39"/>
      <c r="M63" s="39"/>
      <c r="N63" s="39"/>
      <c r="O63" s="39"/>
      <c r="P63" s="41"/>
      <c r="Q63" s="41"/>
      <c r="R63" s="41"/>
      <c r="S63" s="41"/>
      <c r="T63" s="41"/>
      <c r="U63" s="39"/>
      <c r="V63" s="39"/>
      <c r="W63" s="41"/>
      <c r="X63" s="41"/>
      <c r="Y63" s="41"/>
      <c r="Z63" s="39"/>
      <c r="AA63" s="39"/>
    </row>
    <row r="64" spans="1:33" x14ac:dyDescent="0.25">
      <c r="B64"/>
      <c r="C64"/>
      <c r="D64"/>
      <c r="E64" s="39"/>
      <c r="F64" s="39"/>
      <c r="G64" s="41"/>
      <c r="H64" s="39"/>
      <c r="I64" s="39"/>
      <c r="J64" s="39"/>
      <c r="K64" s="41"/>
      <c r="L64" s="39"/>
      <c r="M64" s="39"/>
      <c r="N64" s="39"/>
      <c r="O64" s="39"/>
      <c r="P64" s="41"/>
      <c r="Q64" s="41"/>
      <c r="R64" s="41"/>
      <c r="S64" s="41"/>
      <c r="T64" s="41"/>
      <c r="U64" s="39"/>
      <c r="V64" s="39"/>
      <c r="W64" s="41"/>
      <c r="X64" s="41"/>
      <c r="Y64" s="41"/>
      <c r="Z64" s="39"/>
      <c r="AA64" s="39"/>
    </row>
    <row r="65" spans="1:33" x14ac:dyDescent="0.25">
      <c r="B65"/>
      <c r="C65"/>
      <c r="D65"/>
      <c r="E65" s="39"/>
      <c r="F65" s="39"/>
      <c r="G65" s="41"/>
      <c r="H65" s="39"/>
      <c r="I65" s="39"/>
      <c r="J65" s="39"/>
      <c r="K65" s="41"/>
      <c r="L65" s="39"/>
      <c r="M65" s="39"/>
      <c r="N65" s="39"/>
      <c r="O65" s="39"/>
      <c r="P65" s="41"/>
      <c r="Q65" s="41"/>
      <c r="R65" s="41"/>
      <c r="S65" s="41"/>
      <c r="T65" s="41"/>
      <c r="U65" s="39"/>
      <c r="V65" s="39"/>
      <c r="W65" s="41"/>
      <c r="X65" s="41"/>
      <c r="Y65" s="41"/>
      <c r="Z65" s="39"/>
      <c r="AA65" s="39"/>
    </row>
    <row r="66" spans="1:33" x14ac:dyDescent="0.25">
      <c r="B66"/>
      <c r="C66"/>
      <c r="D66"/>
      <c r="E66" s="39"/>
      <c r="F66" s="39"/>
      <c r="G66" s="41"/>
      <c r="H66" s="39"/>
      <c r="I66" s="39"/>
      <c r="J66" s="39"/>
      <c r="K66" s="41"/>
      <c r="L66" s="39"/>
      <c r="M66" s="39"/>
      <c r="N66" s="39"/>
      <c r="O66" s="39"/>
      <c r="P66" s="41"/>
      <c r="Q66" s="41"/>
      <c r="R66" s="41"/>
      <c r="S66" s="41"/>
      <c r="T66" s="41"/>
      <c r="U66" s="39"/>
      <c r="V66" s="39"/>
      <c r="W66" s="41"/>
      <c r="X66" s="41"/>
      <c r="Y66" s="41"/>
      <c r="Z66" s="39"/>
      <c r="AA66" s="39"/>
    </row>
    <row r="67" spans="1:33" x14ac:dyDescent="0.25">
      <c r="B67"/>
      <c r="C67"/>
      <c r="D67"/>
      <c r="E67" s="39"/>
      <c r="F67" s="39"/>
      <c r="G67" s="41"/>
      <c r="H67" s="39"/>
      <c r="I67" s="39"/>
      <c r="J67" s="39"/>
      <c r="K67" s="41"/>
      <c r="L67" s="39"/>
      <c r="M67" s="39"/>
      <c r="N67" s="39"/>
      <c r="O67" s="39"/>
      <c r="P67" s="41"/>
      <c r="Q67" s="41"/>
      <c r="R67" s="41"/>
      <c r="S67" s="41"/>
      <c r="T67" s="41"/>
      <c r="U67" s="39"/>
      <c r="V67" s="39"/>
      <c r="W67" s="41"/>
      <c r="X67" s="41"/>
      <c r="Y67" s="41"/>
      <c r="Z67" s="39"/>
      <c r="AA67" s="39"/>
    </row>
    <row r="68" spans="1:33" x14ac:dyDescent="0.25">
      <c r="B68"/>
      <c r="C68"/>
      <c r="D68"/>
      <c r="E68" s="39"/>
      <c r="F68" s="39"/>
      <c r="G68" s="41"/>
      <c r="H68" s="39"/>
      <c r="I68" s="39"/>
      <c r="J68" s="39"/>
      <c r="K68" s="41"/>
      <c r="L68" s="39"/>
      <c r="M68" s="39"/>
      <c r="N68" s="39"/>
      <c r="O68" s="39"/>
      <c r="P68" s="41"/>
      <c r="Q68" s="41"/>
      <c r="R68" s="41"/>
      <c r="S68" s="41"/>
      <c r="T68" s="41"/>
      <c r="U68" s="39"/>
      <c r="V68" s="39"/>
      <c r="W68" s="41"/>
      <c r="X68" s="41"/>
      <c r="Y68" s="41"/>
      <c r="Z68" s="39"/>
      <c r="AA68" s="39"/>
    </row>
    <row r="69" spans="1:33" x14ac:dyDescent="0.25">
      <c r="B69"/>
      <c r="C69"/>
      <c r="D69"/>
      <c r="E69" s="39"/>
      <c r="F69" s="39"/>
      <c r="G69" s="41"/>
      <c r="H69" s="39"/>
      <c r="I69" s="39"/>
      <c r="J69" s="39"/>
      <c r="K69" s="41"/>
      <c r="L69" s="39"/>
      <c r="M69" s="39"/>
      <c r="N69" s="39"/>
      <c r="O69" s="39"/>
      <c r="P69" s="41"/>
      <c r="Q69" s="41"/>
      <c r="R69" s="41"/>
      <c r="S69" s="41"/>
      <c r="T69" s="41"/>
      <c r="U69" s="39"/>
      <c r="V69" s="39"/>
      <c r="W69" s="41"/>
      <c r="X69" s="41"/>
      <c r="Y69" s="41"/>
      <c r="Z69" s="39"/>
      <c r="AA69" s="39"/>
    </row>
    <row r="70" spans="1:33" x14ac:dyDescent="0.25">
      <c r="A70" s="38"/>
      <c r="B70"/>
      <c r="C70" s="38"/>
      <c r="D70" s="38"/>
      <c r="E70" s="39"/>
      <c r="F70" s="39"/>
      <c r="G70" s="41"/>
      <c r="H70" s="39"/>
      <c r="I70" s="39"/>
      <c r="J70" s="39"/>
      <c r="K70" s="41"/>
      <c r="L70" s="39"/>
      <c r="M70" s="39"/>
      <c r="N70" s="39"/>
      <c r="O70" s="39"/>
      <c r="P70" s="41"/>
      <c r="Q70" s="41"/>
      <c r="R70" s="41"/>
      <c r="S70" s="41"/>
      <c r="T70" s="41"/>
      <c r="U70" s="39"/>
      <c r="V70" s="39"/>
      <c r="W70" s="41"/>
      <c r="X70" s="41"/>
      <c r="Y70" s="41"/>
      <c r="Z70" s="39"/>
      <c r="AA70" s="39"/>
      <c r="AB70" s="38"/>
      <c r="AC70" s="38"/>
      <c r="AD70" s="38"/>
      <c r="AE70" s="38"/>
      <c r="AF70" s="38"/>
      <c r="AG70" s="38"/>
    </row>
    <row r="71" spans="1:33" x14ac:dyDescent="0.25">
      <c r="A71" s="38">
        <v>1080</v>
      </c>
      <c r="B71" s="34">
        <v>48</v>
      </c>
      <c r="C71" s="38" t="s">
        <v>130</v>
      </c>
      <c r="D71" s="38" t="s">
        <v>131</v>
      </c>
      <c r="E71" s="39">
        <v>0.2</v>
      </c>
      <c r="F71" s="39">
        <v>0.46</v>
      </c>
      <c r="G71" s="41">
        <v>2.86E-2</v>
      </c>
      <c r="H71" s="39">
        <v>0</v>
      </c>
      <c r="I71" s="39"/>
      <c r="J71" s="39">
        <v>0.46</v>
      </c>
      <c r="K71" s="41">
        <v>2.86E-2</v>
      </c>
      <c r="L71" s="39">
        <v>0</v>
      </c>
      <c r="M71" s="39">
        <v>0</v>
      </c>
      <c r="N71" s="39">
        <v>0</v>
      </c>
      <c r="O71" s="39">
        <v>0</v>
      </c>
      <c r="P71" s="41">
        <v>0.2</v>
      </c>
      <c r="Q71" s="41"/>
      <c r="R71" s="41">
        <v>0.46</v>
      </c>
      <c r="S71" s="41">
        <v>2.86E-2</v>
      </c>
      <c r="T71" s="41">
        <v>1</v>
      </c>
      <c r="U71" s="39">
        <v>1</v>
      </c>
      <c r="V71" s="39">
        <v>0.4</v>
      </c>
      <c r="W71" s="41">
        <v>2.0400000000000001E-2</v>
      </c>
      <c r="X71" s="41">
        <v>0.75</v>
      </c>
      <c r="Y71" s="41">
        <v>0.85</v>
      </c>
      <c r="Z71" s="39">
        <v>0</v>
      </c>
      <c r="AA71" s="39">
        <v>0.25</v>
      </c>
      <c r="AB71" s="38">
        <v>-250</v>
      </c>
      <c r="AC71" s="38">
        <v>-250</v>
      </c>
      <c r="AD71" s="38">
        <v>-250</v>
      </c>
      <c r="AE71" s="38">
        <v>100</v>
      </c>
      <c r="AF71" s="38">
        <v>0</v>
      </c>
      <c r="AG71" s="38">
        <f>'HU-MOD-2-Parameters_FTLZ'!J$28</f>
        <v>39.412325979289278</v>
      </c>
    </row>
    <row r="72" spans="1:33" x14ac:dyDescent="0.25">
      <c r="A72" s="38"/>
      <c r="B72"/>
      <c r="C72" s="38"/>
      <c r="D72" s="38"/>
      <c r="E72" s="39"/>
      <c r="F72" s="39"/>
      <c r="G72" s="41"/>
      <c r="H72" s="39"/>
      <c r="I72" s="39"/>
      <c r="J72" s="39"/>
      <c r="K72" s="41"/>
      <c r="L72" s="39"/>
      <c r="M72" s="39"/>
      <c r="N72" s="39"/>
      <c r="O72" s="39"/>
      <c r="P72" s="41"/>
      <c r="Q72" s="41"/>
      <c r="R72" s="41"/>
      <c r="S72" s="41"/>
      <c r="T72" s="41"/>
      <c r="U72" s="39"/>
      <c r="V72" s="39"/>
      <c r="W72" s="41"/>
      <c r="X72" s="41"/>
      <c r="Y72" s="41"/>
      <c r="Z72" s="39"/>
      <c r="AA72" s="39"/>
      <c r="AB72" s="38"/>
      <c r="AC72" s="38"/>
      <c r="AD72" s="38"/>
      <c r="AE72" s="38"/>
      <c r="AF72" s="38"/>
      <c r="AG72" s="38"/>
    </row>
    <row r="73" spans="1:33" x14ac:dyDescent="0.25">
      <c r="A73" s="38"/>
      <c r="B73"/>
      <c r="C73" s="38"/>
      <c r="D73" s="38"/>
      <c r="E73" s="39"/>
      <c r="F73" s="39"/>
      <c r="G73" s="41"/>
      <c r="H73" s="39"/>
      <c r="I73" s="39"/>
      <c r="J73" s="39"/>
      <c r="K73" s="41"/>
      <c r="L73" s="39"/>
      <c r="M73" s="39"/>
      <c r="N73" s="39"/>
      <c r="O73" s="39"/>
      <c r="P73" s="41"/>
      <c r="Q73" s="41"/>
      <c r="R73" s="41"/>
      <c r="S73" s="41"/>
      <c r="T73" s="41"/>
      <c r="U73" s="39"/>
      <c r="V73" s="39"/>
      <c r="W73" s="41"/>
      <c r="X73" s="41"/>
      <c r="Y73" s="41"/>
      <c r="Z73" s="39"/>
      <c r="AA73" s="39"/>
      <c r="AB73" s="38"/>
      <c r="AC73" s="38"/>
      <c r="AD73" s="38"/>
      <c r="AE73" s="38"/>
      <c r="AF73" s="38"/>
      <c r="AG73" s="38"/>
    </row>
    <row r="74" spans="1:33" x14ac:dyDescent="0.25">
      <c r="A74" s="38"/>
      <c r="B74"/>
      <c r="C74" s="38"/>
      <c r="D74" s="38"/>
      <c r="E74" s="39"/>
      <c r="F74" s="39"/>
      <c r="G74" s="41"/>
      <c r="H74" s="39"/>
      <c r="I74" s="39"/>
      <c r="J74" s="39"/>
      <c r="K74" s="41"/>
      <c r="L74" s="39"/>
      <c r="M74" s="39"/>
      <c r="N74" s="39"/>
      <c r="O74" s="39"/>
      <c r="P74" s="41"/>
      <c r="Q74" s="41"/>
      <c r="R74" s="41"/>
      <c r="S74" s="41"/>
      <c r="T74" s="41"/>
      <c r="U74" s="39"/>
      <c r="V74" s="39"/>
      <c r="W74" s="41"/>
      <c r="X74" s="41"/>
      <c r="Y74" s="41"/>
      <c r="Z74" s="39"/>
      <c r="AA74" s="39"/>
      <c r="AB74" s="38"/>
      <c r="AC74" s="38"/>
      <c r="AD74" s="38"/>
      <c r="AE74" s="38"/>
      <c r="AF74" s="38"/>
      <c r="AG74" s="38"/>
    </row>
    <row r="75" spans="1:33" x14ac:dyDescent="0.25">
      <c r="A75" s="38"/>
      <c r="B75"/>
      <c r="C75" s="38"/>
      <c r="D75" s="38"/>
      <c r="E75" s="39"/>
      <c r="F75" s="39"/>
      <c r="G75" s="41"/>
      <c r="H75" s="39"/>
      <c r="I75" s="39"/>
      <c r="J75" s="39"/>
      <c r="K75" s="41"/>
      <c r="L75" s="39"/>
      <c r="M75" s="39"/>
      <c r="N75" s="39"/>
      <c r="O75" s="39"/>
      <c r="P75" s="41"/>
      <c r="Q75" s="41"/>
      <c r="R75" s="41"/>
      <c r="S75" s="41"/>
      <c r="T75" s="41"/>
      <c r="U75" s="39"/>
      <c r="V75" s="39"/>
      <c r="W75" s="41"/>
      <c r="X75" s="41"/>
      <c r="Y75" s="41"/>
      <c r="Z75" s="39"/>
      <c r="AA75" s="39"/>
      <c r="AB75" s="38"/>
      <c r="AC75" s="38"/>
      <c r="AD75" s="38"/>
      <c r="AE75" s="38"/>
      <c r="AF75" s="38"/>
      <c r="AG75" s="38"/>
    </row>
    <row r="76" spans="1:33" x14ac:dyDescent="0.25">
      <c r="A76" s="38"/>
      <c r="B76"/>
      <c r="C76" s="38"/>
      <c r="D76" s="38"/>
      <c r="E76" s="39"/>
      <c r="F76" s="39"/>
      <c r="G76" s="41"/>
      <c r="H76" s="39"/>
      <c r="I76" s="39"/>
      <c r="J76" s="39"/>
      <c r="K76" s="41"/>
      <c r="L76" s="39"/>
      <c r="M76" s="39"/>
      <c r="N76" s="39"/>
      <c r="O76" s="39"/>
      <c r="P76" s="41"/>
      <c r="Q76" s="41"/>
      <c r="R76" s="41"/>
      <c r="S76" s="41"/>
      <c r="T76" s="41"/>
      <c r="U76" s="39"/>
      <c r="V76" s="39"/>
      <c r="W76" s="41"/>
      <c r="X76" s="41"/>
      <c r="Y76" s="41"/>
      <c r="Z76" s="39"/>
      <c r="AA76" s="39"/>
      <c r="AB76" s="38"/>
      <c r="AC76" s="38"/>
      <c r="AD76" s="38"/>
      <c r="AE76" s="38"/>
      <c r="AF76" s="38"/>
      <c r="AG76" s="38"/>
    </row>
    <row r="77" spans="1:33" x14ac:dyDescent="0.25">
      <c r="A77" s="38"/>
      <c r="B77"/>
      <c r="C77" s="38"/>
      <c r="D77" s="38"/>
      <c r="E77" s="39"/>
      <c r="F77" s="39"/>
      <c r="G77" s="41"/>
      <c r="H77" s="39"/>
      <c r="I77" s="39"/>
      <c r="J77" s="39"/>
      <c r="K77" s="41"/>
      <c r="L77" s="39"/>
      <c r="M77" s="39"/>
      <c r="N77" s="39"/>
      <c r="O77" s="39"/>
      <c r="P77" s="41"/>
      <c r="Q77" s="41"/>
      <c r="R77" s="41"/>
      <c r="S77" s="41"/>
      <c r="T77" s="41"/>
      <c r="U77" s="39"/>
      <c r="V77" s="39"/>
      <c r="W77" s="41"/>
      <c r="X77" s="41"/>
      <c r="Y77"/>
      <c r="Z77" s="39"/>
      <c r="AA77" s="39"/>
      <c r="AB77" s="38"/>
      <c r="AC77" s="38"/>
      <c r="AD77" s="38"/>
      <c r="AE77" s="38"/>
      <c r="AF77" s="38"/>
      <c r="AG77" s="38"/>
    </row>
    <row r="78" spans="1:33" x14ac:dyDescent="0.25">
      <c r="A78" s="38"/>
      <c r="B78"/>
      <c r="C78"/>
      <c r="D78"/>
      <c r="E78"/>
      <c r="F78"/>
      <c r="G78"/>
      <c r="H78"/>
      <c r="I78"/>
      <c r="J78"/>
      <c r="K78"/>
      <c r="L78" s="39"/>
      <c r="M78" s="39"/>
      <c r="N78" s="39"/>
      <c r="O78" s="39"/>
      <c r="P78"/>
      <c r="Q78"/>
      <c r="R78"/>
      <c r="S78"/>
      <c r="T78"/>
      <c r="U78" s="39"/>
      <c r="V78" s="39"/>
      <c r="W78"/>
      <c r="X78"/>
      <c r="Y78"/>
      <c r="Z78" s="39"/>
      <c r="AA78" s="39"/>
    </row>
    <row r="79" spans="1:33" x14ac:dyDescent="0.25">
      <c r="A79" s="38"/>
      <c r="B79"/>
      <c r="C79"/>
      <c r="D79"/>
      <c r="E79"/>
      <c r="F79"/>
      <c r="G79"/>
      <c r="H79"/>
      <c r="I79"/>
      <c r="J79"/>
      <c r="K79"/>
      <c r="L79" s="39"/>
      <c r="M79" s="39"/>
      <c r="N79" s="39"/>
      <c r="O79" s="39"/>
      <c r="P79"/>
      <c r="Q79"/>
      <c r="R79"/>
      <c r="S79"/>
      <c r="T79"/>
      <c r="U79" s="39"/>
      <c r="V79" s="39"/>
      <c r="W79"/>
      <c r="X79"/>
      <c r="Y79"/>
      <c r="Z79" s="39"/>
      <c r="AA79" s="39"/>
    </row>
    <row r="80" spans="1:33" x14ac:dyDescent="0.25">
      <c r="A80" s="38"/>
      <c r="B80"/>
      <c r="C80"/>
      <c r="D80"/>
      <c r="E80"/>
      <c r="F80"/>
      <c r="G80"/>
      <c r="H80"/>
      <c r="I80"/>
      <c r="J80"/>
      <c r="K80"/>
      <c r="L80" s="39"/>
      <c r="M80" s="39"/>
      <c r="N80" s="39"/>
      <c r="O80" s="39"/>
      <c r="P80"/>
      <c r="Q80"/>
      <c r="R80"/>
      <c r="S80"/>
      <c r="T80"/>
      <c r="U80" s="39"/>
      <c r="V80" s="39"/>
      <c r="W80"/>
      <c r="X80"/>
      <c r="Y80" s="20"/>
      <c r="Z80" s="39"/>
      <c r="AA80" s="39"/>
    </row>
    <row r="81" spans="1:32" x14ac:dyDescent="0.25">
      <c r="A81">
        <v>1090</v>
      </c>
      <c r="B81"/>
      <c r="C81" s="31" t="s">
        <v>132</v>
      </c>
      <c r="D81" s="31" t="s">
        <v>133</v>
      </c>
      <c r="E81"/>
      <c r="F81" s="42">
        <v>0.45</v>
      </c>
      <c r="G81" s="42">
        <v>1.4500000000000001E-2</v>
      </c>
      <c r="H81" s="42">
        <v>0</v>
      </c>
      <c r="I81" s="42">
        <v>0</v>
      </c>
      <c r="J81" s="42">
        <v>0</v>
      </c>
      <c r="K81" s="42">
        <v>0</v>
      </c>
      <c r="L81" s="39">
        <v>0</v>
      </c>
      <c r="M81" s="39">
        <v>0</v>
      </c>
      <c r="N81" s="39">
        <v>0</v>
      </c>
      <c r="O81" s="39">
        <v>0</v>
      </c>
      <c r="P81" s="42">
        <v>0.69737438543882302</v>
      </c>
      <c r="Q81" s="42">
        <v>0</v>
      </c>
      <c r="R81" s="42">
        <v>0.46</v>
      </c>
      <c r="S81" s="42">
        <v>1.4500000000000001E-2</v>
      </c>
      <c r="T81" s="42">
        <v>0.33613445378151302</v>
      </c>
      <c r="U81" s="39">
        <v>1</v>
      </c>
      <c r="V81" s="39">
        <v>0.4</v>
      </c>
      <c r="W81" s="42">
        <v>0.01</v>
      </c>
      <c r="X81" s="42">
        <v>0</v>
      </c>
      <c r="Y81" s="42">
        <v>0</v>
      </c>
      <c r="Z81" s="39">
        <v>0</v>
      </c>
      <c r="AA81" s="39">
        <v>0.25</v>
      </c>
      <c r="AF81">
        <v>0</v>
      </c>
    </row>
    <row r="82" spans="1:32" x14ac:dyDescent="0.25">
      <c r="A82">
        <v>1091</v>
      </c>
      <c r="B82"/>
      <c r="C82" s="31" t="s">
        <v>134</v>
      </c>
      <c r="D82" s="31" t="s">
        <v>458</v>
      </c>
      <c r="E82"/>
      <c r="F82" s="42">
        <v>0.45</v>
      </c>
      <c r="G82" s="42">
        <v>1.41E-2</v>
      </c>
      <c r="H82" s="42">
        <v>0</v>
      </c>
      <c r="I82" s="42">
        <v>0</v>
      </c>
      <c r="J82" s="42">
        <v>0</v>
      </c>
      <c r="K82" s="42">
        <v>0</v>
      </c>
      <c r="L82" s="39">
        <v>0</v>
      </c>
      <c r="M82" s="39">
        <v>0</v>
      </c>
      <c r="N82" s="39">
        <v>0</v>
      </c>
      <c r="O82" s="39">
        <v>0</v>
      </c>
      <c r="P82" s="42">
        <v>9.7049689440993805E-2</v>
      </c>
      <c r="Q82" s="42">
        <v>0</v>
      </c>
      <c r="R82" s="42">
        <v>0.46</v>
      </c>
      <c r="S82" s="42">
        <v>1.4E-2</v>
      </c>
      <c r="T82" s="42">
        <v>0.17857142857142899</v>
      </c>
      <c r="U82" s="39">
        <v>1</v>
      </c>
      <c r="V82" s="39">
        <v>0.4</v>
      </c>
      <c r="W82" s="42">
        <v>0.01</v>
      </c>
      <c r="X82" s="42">
        <v>0</v>
      </c>
      <c r="Y82" s="42">
        <v>0</v>
      </c>
      <c r="Z82" s="39">
        <v>0</v>
      </c>
      <c r="AA82" s="39">
        <v>0.25</v>
      </c>
      <c r="AF82">
        <v>0</v>
      </c>
    </row>
    <row r="83" spans="1:32" x14ac:dyDescent="0.25">
      <c r="A83">
        <v>1092</v>
      </c>
      <c r="B83"/>
      <c r="C83" t="s">
        <v>135</v>
      </c>
      <c r="D83" t="s">
        <v>456</v>
      </c>
      <c r="E83"/>
      <c r="F83" s="42">
        <v>0.45</v>
      </c>
      <c r="G83" s="42">
        <v>1.1299999999999999E-2</v>
      </c>
      <c r="H83" s="42">
        <v>0</v>
      </c>
      <c r="I83" s="42">
        <v>0</v>
      </c>
      <c r="J83" s="42">
        <v>0</v>
      </c>
      <c r="K83" s="42">
        <v>0</v>
      </c>
      <c r="L83" s="39">
        <v>0</v>
      </c>
      <c r="M83" s="39">
        <v>0</v>
      </c>
      <c r="N83" s="39">
        <v>0</v>
      </c>
      <c r="O83" s="39">
        <v>0</v>
      </c>
      <c r="P83" s="42">
        <v>0.89953943580886597</v>
      </c>
      <c r="Q83" s="42">
        <v>0</v>
      </c>
      <c r="R83" s="42">
        <v>0.46</v>
      </c>
      <c r="S83" s="42">
        <v>1.2999999999999999E-2</v>
      </c>
      <c r="T83" s="42">
        <v>0.25906735751295301</v>
      </c>
      <c r="U83" s="39">
        <v>1</v>
      </c>
      <c r="V83" s="39">
        <v>0.4</v>
      </c>
      <c r="W83" s="42">
        <v>0.01</v>
      </c>
      <c r="X83" s="42">
        <v>0</v>
      </c>
      <c r="Y83" s="42">
        <v>0</v>
      </c>
      <c r="Z83" s="39">
        <v>0</v>
      </c>
      <c r="AA83" s="39">
        <v>0.25</v>
      </c>
      <c r="AF83">
        <v>0</v>
      </c>
    </row>
    <row r="84" spans="1:32" x14ac:dyDescent="0.25">
      <c r="A84">
        <v>1093</v>
      </c>
      <c r="B84"/>
      <c r="C84" s="31" t="s">
        <v>136</v>
      </c>
      <c r="D84" s="31" t="s">
        <v>447</v>
      </c>
      <c r="E84"/>
      <c r="F84" s="42">
        <v>0.45</v>
      </c>
      <c r="G84" s="42">
        <v>1.4800000000000001E-2</v>
      </c>
      <c r="H84" s="42">
        <v>0</v>
      </c>
      <c r="I84" s="42">
        <v>0</v>
      </c>
      <c r="J84" s="42">
        <v>0</v>
      </c>
      <c r="K84" s="42">
        <v>0</v>
      </c>
      <c r="L84" s="39">
        <v>0</v>
      </c>
      <c r="M84" s="39">
        <v>0</v>
      </c>
      <c r="N84" s="39">
        <v>0</v>
      </c>
      <c r="O84" s="39">
        <v>0</v>
      </c>
      <c r="P84" s="42">
        <v>0.90116069497512796</v>
      </c>
      <c r="Q84" s="42">
        <v>0</v>
      </c>
      <c r="R84" s="42">
        <v>0.46</v>
      </c>
      <c r="S84" s="42">
        <v>1.4999999999999999E-2</v>
      </c>
      <c r="T84" s="42">
        <v>0.69930069930069905</v>
      </c>
      <c r="U84" s="39">
        <v>1</v>
      </c>
      <c r="V84" s="39">
        <v>0.4</v>
      </c>
      <c r="W84" s="42">
        <v>0.01</v>
      </c>
      <c r="X84" s="42">
        <v>0</v>
      </c>
      <c r="Y84" s="42">
        <v>0</v>
      </c>
      <c r="Z84" s="39">
        <v>0</v>
      </c>
      <c r="AA84" s="39">
        <v>0.25</v>
      </c>
      <c r="AF84">
        <v>0</v>
      </c>
    </row>
    <row r="85" spans="1:32" x14ac:dyDescent="0.25">
      <c r="A85">
        <v>1094</v>
      </c>
      <c r="B85"/>
      <c r="C85" s="31" t="s">
        <v>137</v>
      </c>
      <c r="D85" s="31" t="s">
        <v>138</v>
      </c>
      <c r="E85"/>
      <c r="F85" s="42">
        <v>0.45</v>
      </c>
      <c r="G85" s="42">
        <v>1.6199999999999999E-2</v>
      </c>
      <c r="H85" s="42">
        <v>0</v>
      </c>
      <c r="I85" s="42">
        <v>0</v>
      </c>
      <c r="J85" s="42">
        <v>0</v>
      </c>
      <c r="K85" s="42">
        <v>0</v>
      </c>
      <c r="L85" s="39">
        <v>0</v>
      </c>
      <c r="M85" s="39">
        <v>0</v>
      </c>
      <c r="N85" s="39">
        <v>0</v>
      </c>
      <c r="O85" s="39">
        <v>0</v>
      </c>
      <c r="P85" s="42">
        <v>1.3819789939192899</v>
      </c>
      <c r="Q85" s="42">
        <v>0</v>
      </c>
      <c r="R85" s="42">
        <v>0.46</v>
      </c>
      <c r="S85" s="42">
        <v>1.6E-2</v>
      </c>
      <c r="T85" s="42">
        <v>0.37313432835820898</v>
      </c>
      <c r="U85" s="39">
        <v>1</v>
      </c>
      <c r="V85" s="39">
        <v>0.4</v>
      </c>
      <c r="W85" s="42">
        <v>0.01</v>
      </c>
      <c r="X85" s="42">
        <v>0</v>
      </c>
      <c r="Y85" s="20">
        <v>0</v>
      </c>
      <c r="Z85" s="39">
        <v>0</v>
      </c>
      <c r="AA85" s="39">
        <v>0.25</v>
      </c>
      <c r="AF85">
        <v>0</v>
      </c>
    </row>
    <row r="86" spans="1:32" x14ac:dyDescent="0.25">
      <c r="A86">
        <v>1095</v>
      </c>
      <c r="B86"/>
      <c r="C86" s="33" t="s">
        <v>139</v>
      </c>
      <c r="D86" s="33" t="s">
        <v>461</v>
      </c>
      <c r="E86" s="20">
        <f>AVERAGE(E20,E40)</f>
        <v>0.86</v>
      </c>
      <c r="F86" s="20">
        <v>0.46415000000000001</v>
      </c>
      <c r="G86" s="20">
        <f>AVERAGE(G20,G40)</f>
        <v>4.07E-2</v>
      </c>
      <c r="H86" s="20">
        <v>1.43</v>
      </c>
      <c r="I86" s="20">
        <f>AVERAGE(I20,I40)</f>
        <v>0.86</v>
      </c>
      <c r="J86" s="20">
        <v>0.47034999999999999</v>
      </c>
      <c r="K86" s="20">
        <f>AVERAGE(K20,K40)</f>
        <v>1.7600000000000001E-2</v>
      </c>
      <c r="L86" s="39">
        <v>0</v>
      </c>
      <c r="M86" s="39">
        <v>0</v>
      </c>
      <c r="N86" s="39">
        <v>0</v>
      </c>
      <c r="O86" s="39">
        <v>0</v>
      </c>
      <c r="P86" s="20">
        <v>0.14315726290516201</v>
      </c>
      <c r="Q86" s="20">
        <v>0.86</v>
      </c>
      <c r="R86" s="20">
        <v>0.47034999999999999</v>
      </c>
      <c r="S86" s="20">
        <v>1.37E-2</v>
      </c>
      <c r="T86" s="20"/>
      <c r="U86" s="39">
        <v>1</v>
      </c>
      <c r="V86" s="39">
        <v>0.4</v>
      </c>
      <c r="W86" s="20">
        <v>1.8950000000000002E-2</v>
      </c>
      <c r="X86" s="20">
        <v>0</v>
      </c>
      <c r="Y86" s="42">
        <v>0</v>
      </c>
      <c r="Z86" s="39">
        <v>0</v>
      </c>
      <c r="AA86" s="39">
        <v>0.25</v>
      </c>
      <c r="AB86" s="38">
        <f>AVERAGE(AB20,AB40)</f>
        <v>-160</v>
      </c>
      <c r="AC86" s="38">
        <f>AVERAGE(AC20,AC40)</f>
        <v>-160</v>
      </c>
      <c r="AD86" s="38">
        <f>AVERAGE(AD20,AD40)</f>
        <v>-160</v>
      </c>
      <c r="AE86" s="38">
        <f>AVERAGE(AE20,AE40)</f>
        <v>35</v>
      </c>
      <c r="AF86" s="38">
        <v>100</v>
      </c>
    </row>
    <row r="87" spans="1:32" x14ac:dyDescent="0.25">
      <c r="A87">
        <v>1096</v>
      </c>
      <c r="B87"/>
      <c r="C87" s="33" t="s">
        <v>140</v>
      </c>
      <c r="D87" s="33" t="s">
        <v>457</v>
      </c>
      <c r="E87"/>
      <c r="F87"/>
      <c r="G87"/>
      <c r="H87"/>
      <c r="I87"/>
      <c r="J87"/>
      <c r="K87"/>
      <c r="L87" s="39">
        <v>0</v>
      </c>
      <c r="M87" s="39">
        <v>0.700161314679554</v>
      </c>
      <c r="N87" s="39">
        <v>0.27712384835016701</v>
      </c>
      <c r="O87" s="39">
        <v>6.5815163579878103E-3</v>
      </c>
      <c r="P87">
        <v>1.9248839378928899E-2</v>
      </c>
      <c r="Q87">
        <v>0.86656350000000004</v>
      </c>
      <c r="R87">
        <v>0.36690298589999998</v>
      </c>
      <c r="S87">
        <v>4.1595047999999999E-3</v>
      </c>
      <c r="T87" s="42"/>
      <c r="U87" s="39">
        <v>0.97524679999999997</v>
      </c>
      <c r="V87" s="39">
        <v>0.35870000000000002</v>
      </c>
      <c r="W87">
        <v>1.3100000000000001E-2</v>
      </c>
      <c r="X87" s="42">
        <v>0</v>
      </c>
      <c r="Y87" s="42">
        <v>0</v>
      </c>
      <c r="Z87" s="39">
        <v>0</v>
      </c>
      <c r="AA87" s="39">
        <v>0.25</v>
      </c>
      <c r="AF87">
        <v>0</v>
      </c>
    </row>
    <row r="88" spans="1:32" x14ac:dyDescent="0.25">
      <c r="A88">
        <v>1097</v>
      </c>
      <c r="B88"/>
      <c r="C88" s="33" t="s">
        <v>141</v>
      </c>
      <c r="D88" s="33" t="s">
        <v>141</v>
      </c>
      <c r="E88"/>
      <c r="F88"/>
      <c r="G88"/>
      <c r="H88"/>
      <c r="I88"/>
      <c r="J88"/>
      <c r="K88"/>
      <c r="L88" s="39">
        <v>0</v>
      </c>
      <c r="M88" s="39">
        <v>0</v>
      </c>
      <c r="N88" s="39">
        <v>0</v>
      </c>
      <c r="O88" s="39">
        <v>0</v>
      </c>
      <c r="P88"/>
      <c r="Q88"/>
      <c r="R88"/>
      <c r="S88"/>
      <c r="T88" s="42"/>
      <c r="U88" s="39">
        <v>1</v>
      </c>
      <c r="V88" s="39">
        <v>0.4</v>
      </c>
      <c r="W88"/>
      <c r="X88" s="42">
        <v>0</v>
      </c>
      <c r="Y88" s="42">
        <v>0</v>
      </c>
      <c r="Z88" s="39">
        <v>0</v>
      </c>
      <c r="AA88" s="39">
        <v>0.25</v>
      </c>
    </row>
    <row r="89" spans="1:32" x14ac:dyDescent="0.25">
      <c r="A89">
        <v>1098</v>
      </c>
      <c r="B89"/>
      <c r="C89" s="33" t="s">
        <v>141</v>
      </c>
      <c r="D89" s="33" t="s">
        <v>141</v>
      </c>
      <c r="E89"/>
      <c r="F89"/>
      <c r="G89"/>
      <c r="H89"/>
      <c r="I89"/>
      <c r="J89"/>
      <c r="K89"/>
      <c r="L89" s="39">
        <v>0</v>
      </c>
      <c r="M89" s="39">
        <v>0</v>
      </c>
      <c r="N89" s="39">
        <v>0</v>
      </c>
      <c r="O89" s="39">
        <v>0</v>
      </c>
      <c r="P89"/>
      <c r="Q89"/>
      <c r="R89"/>
      <c r="S89"/>
      <c r="T89" s="42"/>
      <c r="U89" s="39">
        <v>1</v>
      </c>
      <c r="V89" s="39">
        <v>0.4</v>
      </c>
      <c r="W89"/>
      <c r="X89" s="42">
        <v>0</v>
      </c>
      <c r="Y89" s="42">
        <v>0</v>
      </c>
      <c r="Z89" s="39">
        <v>0</v>
      </c>
      <c r="AA89" s="39">
        <v>0.25</v>
      </c>
    </row>
    <row r="90" spans="1:32" x14ac:dyDescent="0.25">
      <c r="A90">
        <v>1099</v>
      </c>
      <c r="B90"/>
      <c r="C90" s="33" t="s">
        <v>141</v>
      </c>
      <c r="D90" s="33" t="s">
        <v>141</v>
      </c>
      <c r="E90"/>
      <c r="F90"/>
      <c r="G90"/>
      <c r="H90"/>
      <c r="I90"/>
      <c r="J90"/>
      <c r="K90"/>
      <c r="L90" s="39">
        <v>0</v>
      </c>
      <c r="M90" s="39">
        <v>0</v>
      </c>
      <c r="N90" s="39">
        <v>0</v>
      </c>
      <c r="O90" s="39">
        <v>0</v>
      </c>
      <c r="P90"/>
      <c r="Q90"/>
      <c r="R90"/>
      <c r="S90"/>
      <c r="T90" s="42"/>
      <c r="U90" s="39">
        <v>1</v>
      </c>
      <c r="V90" s="39">
        <v>0.4</v>
      </c>
      <c r="W90"/>
      <c r="X90" s="42">
        <v>0</v>
      </c>
      <c r="Y90" s="42">
        <v>0</v>
      </c>
      <c r="Z90" s="39">
        <v>0</v>
      </c>
      <c r="AA90" s="39">
        <v>0.25</v>
      </c>
    </row>
    <row r="91" spans="1:32" x14ac:dyDescent="0.25">
      <c r="A91">
        <v>1100</v>
      </c>
      <c r="B91"/>
      <c r="C91" s="31" t="s">
        <v>142</v>
      </c>
      <c r="D91" s="31" t="s">
        <v>143</v>
      </c>
      <c r="E91" s="42">
        <v>0.15</v>
      </c>
      <c r="F91" s="42">
        <v>0.45</v>
      </c>
      <c r="G91" s="42">
        <v>8.0000000000000002E-3</v>
      </c>
      <c r="H91" s="42">
        <v>0</v>
      </c>
      <c r="I91" s="42">
        <v>0</v>
      </c>
      <c r="J91" s="42">
        <v>0</v>
      </c>
      <c r="K91" s="42">
        <v>0</v>
      </c>
      <c r="L91" s="39">
        <v>0</v>
      </c>
      <c r="M91" s="39">
        <v>0</v>
      </c>
      <c r="N91" s="39">
        <v>0</v>
      </c>
      <c r="O91" s="39">
        <v>0</v>
      </c>
      <c r="P91" s="42">
        <v>0.5</v>
      </c>
      <c r="Q91" s="42">
        <v>0</v>
      </c>
      <c r="R91" s="42">
        <v>0.45</v>
      </c>
      <c r="S91" s="42">
        <v>1.4999999999999999E-2</v>
      </c>
      <c r="T91" s="42"/>
      <c r="U91" s="39">
        <v>1</v>
      </c>
      <c r="V91" s="39">
        <v>0.4</v>
      </c>
      <c r="W91" s="42">
        <v>0.01</v>
      </c>
      <c r="X91" s="42">
        <v>0</v>
      </c>
      <c r="Y91" s="42">
        <v>0</v>
      </c>
      <c r="Z91" s="39">
        <v>0</v>
      </c>
      <c r="AA91" s="39">
        <v>0.25</v>
      </c>
      <c r="AB91">
        <v>560</v>
      </c>
      <c r="AC91">
        <v>800</v>
      </c>
      <c r="AD91">
        <v>1040</v>
      </c>
      <c r="AE91">
        <v>350</v>
      </c>
      <c r="AF91">
        <v>16</v>
      </c>
    </row>
    <row r="92" spans="1:32" x14ac:dyDescent="0.25">
      <c r="A92">
        <v>1101</v>
      </c>
      <c r="B92"/>
      <c r="C92" s="31" t="s">
        <v>144</v>
      </c>
      <c r="D92" s="31" t="s">
        <v>145</v>
      </c>
      <c r="E92" s="42">
        <v>0.18</v>
      </c>
      <c r="F92" s="42">
        <v>0.45</v>
      </c>
      <c r="G92" s="42">
        <v>0.01</v>
      </c>
      <c r="H92" s="42">
        <v>0.25</v>
      </c>
      <c r="I92" s="42">
        <v>0.5</v>
      </c>
      <c r="J92" s="42">
        <v>0</v>
      </c>
      <c r="K92" s="42">
        <v>0.01</v>
      </c>
      <c r="L92" s="39">
        <v>0</v>
      </c>
      <c r="M92" s="39">
        <v>0</v>
      </c>
      <c r="N92" s="39">
        <v>0</v>
      </c>
      <c r="O92" s="39">
        <v>0</v>
      </c>
      <c r="P92" s="42">
        <v>0</v>
      </c>
      <c r="Q92" s="42">
        <v>0.5</v>
      </c>
      <c r="R92" s="42">
        <v>0.45</v>
      </c>
      <c r="S92" s="42">
        <v>0</v>
      </c>
      <c r="T92" s="42"/>
      <c r="U92" s="39">
        <v>1</v>
      </c>
      <c r="V92" s="39">
        <v>0.4</v>
      </c>
      <c r="W92" s="42">
        <v>0.01</v>
      </c>
      <c r="X92" s="42">
        <v>0</v>
      </c>
      <c r="Y92" s="42">
        <v>0</v>
      </c>
      <c r="Z92" s="39">
        <v>0</v>
      </c>
      <c r="AA92" s="39">
        <v>0.25</v>
      </c>
      <c r="AB92">
        <v>280</v>
      </c>
      <c r="AC92">
        <v>400</v>
      </c>
      <c r="AD92">
        <v>600</v>
      </c>
      <c r="AE92">
        <v>250</v>
      </c>
      <c r="AF92">
        <v>16</v>
      </c>
    </row>
    <row r="93" spans="1:32" x14ac:dyDescent="0.25">
      <c r="A93">
        <v>1102</v>
      </c>
      <c r="B93"/>
      <c r="C93" s="31" t="s">
        <v>146</v>
      </c>
      <c r="D93" s="31" t="s">
        <v>147</v>
      </c>
      <c r="E93" s="42">
        <v>0.1</v>
      </c>
      <c r="F93" s="42">
        <v>0.45</v>
      </c>
      <c r="G93" s="42">
        <v>2.5000000000000001E-2</v>
      </c>
      <c r="H93" s="42">
        <v>0</v>
      </c>
      <c r="I93" s="42">
        <v>0</v>
      </c>
      <c r="J93" s="42">
        <v>0</v>
      </c>
      <c r="K93" s="42">
        <v>0</v>
      </c>
      <c r="L93" s="39">
        <v>0</v>
      </c>
      <c r="M93" s="39">
        <v>0</v>
      </c>
      <c r="N93" s="39">
        <v>0</v>
      </c>
      <c r="O93" s="39">
        <v>0</v>
      </c>
      <c r="P93" s="42">
        <v>1.3</v>
      </c>
      <c r="Q93" s="42">
        <v>0</v>
      </c>
      <c r="R93" s="42">
        <v>0.45</v>
      </c>
      <c r="S93" s="42">
        <v>0.03</v>
      </c>
      <c r="T93" s="42"/>
      <c r="U93" s="39">
        <v>1</v>
      </c>
      <c r="V93" s="39">
        <v>0.4</v>
      </c>
      <c r="W93" s="42">
        <v>0.01</v>
      </c>
      <c r="X93" s="42">
        <v>0</v>
      </c>
      <c r="Y93" s="42">
        <v>0</v>
      </c>
      <c r="Z93" s="39">
        <v>0</v>
      </c>
      <c r="AA93" s="39">
        <v>0.25</v>
      </c>
      <c r="AB93">
        <v>760</v>
      </c>
      <c r="AC93">
        <v>1000</v>
      </c>
      <c r="AD93">
        <v>1500</v>
      </c>
      <c r="AE93">
        <v>250</v>
      </c>
      <c r="AF93">
        <v>16</v>
      </c>
    </row>
    <row r="94" spans="1:32" x14ac:dyDescent="0.25">
      <c r="A94">
        <v>1103</v>
      </c>
      <c r="B94"/>
      <c r="C94" s="31" t="s">
        <v>148</v>
      </c>
      <c r="D94" s="31" t="s">
        <v>459</v>
      </c>
      <c r="E94" s="42">
        <v>0.1</v>
      </c>
      <c r="F94" s="42">
        <v>0.45</v>
      </c>
      <c r="G94" s="42">
        <v>0.04</v>
      </c>
      <c r="H94" s="42">
        <v>0</v>
      </c>
      <c r="I94" s="42">
        <v>0</v>
      </c>
      <c r="J94" s="42">
        <v>0</v>
      </c>
      <c r="K94" s="42">
        <v>0</v>
      </c>
      <c r="L94" s="39">
        <v>0</v>
      </c>
      <c r="M94" s="39">
        <v>0</v>
      </c>
      <c r="N94" s="39">
        <v>0</v>
      </c>
      <c r="O94" s="39">
        <v>0</v>
      </c>
      <c r="P94" s="42">
        <v>4.0999999999999996</v>
      </c>
      <c r="Q94" s="42">
        <v>0.1</v>
      </c>
      <c r="R94" s="42">
        <v>0.45</v>
      </c>
      <c r="S94" s="42">
        <v>3.5000000000000003E-2</v>
      </c>
      <c r="T94" s="42"/>
      <c r="U94" s="39">
        <v>1</v>
      </c>
      <c r="V94" s="39">
        <v>0.4</v>
      </c>
      <c r="W94" s="42">
        <v>0.01</v>
      </c>
      <c r="X94" s="42">
        <v>0</v>
      </c>
      <c r="Y94" s="42">
        <v>0</v>
      </c>
      <c r="Z94" s="39">
        <v>0</v>
      </c>
      <c r="AA94" s="39">
        <v>0.25</v>
      </c>
      <c r="AB94">
        <v>760</v>
      </c>
      <c r="AC94">
        <v>1000</v>
      </c>
      <c r="AD94">
        <v>1240</v>
      </c>
      <c r="AE94">
        <v>100</v>
      </c>
      <c r="AF94">
        <v>16</v>
      </c>
    </row>
    <row r="95" spans="1:32" x14ac:dyDescent="0.25">
      <c r="A95">
        <v>1104</v>
      </c>
      <c r="B95"/>
      <c r="C95" s="31" t="s">
        <v>149</v>
      </c>
      <c r="D95" s="31" t="s">
        <v>150</v>
      </c>
      <c r="E95" s="42">
        <v>0.1</v>
      </c>
      <c r="F95" s="42">
        <v>0.45</v>
      </c>
      <c r="G95" s="42">
        <v>0.02</v>
      </c>
      <c r="H95" s="42">
        <v>0</v>
      </c>
      <c r="I95" s="42">
        <v>0</v>
      </c>
      <c r="J95" s="42">
        <v>0</v>
      </c>
      <c r="K95" s="42">
        <v>0</v>
      </c>
      <c r="L95" s="39">
        <v>0</v>
      </c>
      <c r="M95" s="39">
        <v>0</v>
      </c>
      <c r="N95" s="39">
        <v>0</v>
      </c>
      <c r="O95" s="39">
        <v>0</v>
      </c>
      <c r="P95" s="42">
        <v>0.8</v>
      </c>
      <c r="Q95" s="42">
        <v>0</v>
      </c>
      <c r="R95" s="42">
        <v>0.45</v>
      </c>
      <c r="S95" s="42">
        <v>0.03</v>
      </c>
      <c r="T95" s="42"/>
      <c r="U95" s="39">
        <v>1</v>
      </c>
      <c r="V95" s="39">
        <v>0.4</v>
      </c>
      <c r="W95" s="42">
        <v>0.01</v>
      </c>
      <c r="X95" s="42">
        <v>0</v>
      </c>
      <c r="Y95" s="42">
        <v>0</v>
      </c>
      <c r="Z95" s="39">
        <v>0</v>
      </c>
      <c r="AA95" s="39">
        <v>0.25</v>
      </c>
      <c r="AB95">
        <v>280</v>
      </c>
      <c r="AC95">
        <v>400</v>
      </c>
      <c r="AD95">
        <v>600</v>
      </c>
      <c r="AE95">
        <v>150</v>
      </c>
      <c r="AF95">
        <v>16</v>
      </c>
    </row>
    <row r="96" spans="1:32" x14ac:dyDescent="0.25">
      <c r="A96">
        <v>1105</v>
      </c>
      <c r="B96" s="34">
        <v>28</v>
      </c>
      <c r="C96" s="31" t="s">
        <v>151</v>
      </c>
      <c r="D96" s="31" t="s">
        <v>152</v>
      </c>
      <c r="E96" s="42">
        <v>0.18</v>
      </c>
      <c r="F96" s="42">
        <v>0.45</v>
      </c>
      <c r="G96" s="42">
        <v>1.4999999999999999E-2</v>
      </c>
      <c r="H96" s="42">
        <v>0</v>
      </c>
      <c r="I96" s="42">
        <v>0</v>
      </c>
      <c r="J96" s="42">
        <v>0</v>
      </c>
      <c r="K96" s="42">
        <v>0</v>
      </c>
      <c r="L96" s="39">
        <v>0</v>
      </c>
      <c r="M96" s="39">
        <v>0</v>
      </c>
      <c r="N96" s="39">
        <v>0</v>
      </c>
      <c r="O96" s="39">
        <v>0</v>
      </c>
      <c r="P96" s="42">
        <v>0.67</v>
      </c>
      <c r="Q96" s="42">
        <v>0</v>
      </c>
      <c r="R96" s="42">
        <v>0.45</v>
      </c>
      <c r="S96" s="42">
        <v>0.01</v>
      </c>
      <c r="T96" s="42">
        <v>0.10101010101010099</v>
      </c>
      <c r="U96" s="39">
        <v>1</v>
      </c>
      <c r="V96" s="39">
        <v>0.4</v>
      </c>
      <c r="W96" s="42">
        <v>0.01</v>
      </c>
      <c r="X96" s="42">
        <v>0</v>
      </c>
      <c r="Y96" s="42">
        <v>0</v>
      </c>
      <c r="Z96" s="39">
        <v>0</v>
      </c>
      <c r="AA96" s="39">
        <v>0.25</v>
      </c>
      <c r="AB96">
        <v>280</v>
      </c>
      <c r="AC96">
        <v>400</v>
      </c>
      <c r="AD96">
        <v>520</v>
      </c>
      <c r="AE96">
        <v>400</v>
      </c>
      <c r="AF96">
        <v>16</v>
      </c>
    </row>
    <row r="97" spans="1:32" x14ac:dyDescent="0.25">
      <c r="A97">
        <v>1106</v>
      </c>
      <c r="B97"/>
      <c r="C97" s="31" t="s">
        <v>153</v>
      </c>
      <c r="D97" s="31" t="s">
        <v>154</v>
      </c>
      <c r="E97" s="42">
        <v>0.15</v>
      </c>
      <c r="F97" s="42">
        <v>0.45</v>
      </c>
      <c r="G97" s="42">
        <v>1.6E-2</v>
      </c>
      <c r="H97" s="42">
        <v>0</v>
      </c>
      <c r="I97" s="42">
        <v>0</v>
      </c>
      <c r="J97" s="42">
        <v>0</v>
      </c>
      <c r="K97" s="42">
        <v>0</v>
      </c>
      <c r="L97" s="39">
        <v>0</v>
      </c>
      <c r="M97" s="39">
        <v>0</v>
      </c>
      <c r="N97" s="39">
        <v>0</v>
      </c>
      <c r="O97" s="39">
        <v>0</v>
      </c>
      <c r="P97" s="42">
        <v>0.5</v>
      </c>
      <c r="Q97" s="42">
        <v>0</v>
      </c>
      <c r="R97" s="42">
        <v>0.45</v>
      </c>
      <c r="S97" s="42">
        <v>0.02</v>
      </c>
      <c r="T97" s="42"/>
      <c r="U97" s="39">
        <v>1</v>
      </c>
      <c r="V97" s="39">
        <v>0.4</v>
      </c>
      <c r="W97" s="42">
        <v>0.01</v>
      </c>
      <c r="X97" s="42">
        <v>0</v>
      </c>
      <c r="Y97" s="42">
        <v>0</v>
      </c>
      <c r="Z97" s="39">
        <v>0</v>
      </c>
      <c r="AA97" s="39">
        <v>0.25</v>
      </c>
      <c r="AB97">
        <v>760</v>
      </c>
      <c r="AC97">
        <v>1000</v>
      </c>
      <c r="AD97">
        <v>1500</v>
      </c>
      <c r="AE97">
        <v>400</v>
      </c>
      <c r="AF97">
        <v>16</v>
      </c>
    </row>
    <row r="98" spans="1:32" x14ac:dyDescent="0.25">
      <c r="A98">
        <v>1107</v>
      </c>
      <c r="B98"/>
      <c r="C98" s="31" t="s">
        <v>155</v>
      </c>
      <c r="D98" s="31" t="s">
        <v>156</v>
      </c>
      <c r="E98" s="42">
        <v>0.15</v>
      </c>
      <c r="F98" s="42">
        <v>0.45</v>
      </c>
      <c r="G98" s="42">
        <v>1.6E-2</v>
      </c>
      <c r="H98" s="42">
        <v>0</v>
      </c>
      <c r="I98" s="42">
        <v>0</v>
      </c>
      <c r="J98" s="42">
        <v>0</v>
      </c>
      <c r="K98" s="42">
        <v>0</v>
      </c>
      <c r="L98" s="39">
        <v>0</v>
      </c>
      <c r="M98" s="39">
        <v>0</v>
      </c>
      <c r="N98" s="39">
        <v>0</v>
      </c>
      <c r="O98" s="39">
        <v>0</v>
      </c>
      <c r="P98" s="42">
        <v>1</v>
      </c>
      <c r="Q98" s="42">
        <v>0</v>
      </c>
      <c r="R98" s="42">
        <v>0.45</v>
      </c>
      <c r="S98" s="42">
        <v>1.6E-2</v>
      </c>
      <c r="T98" s="42"/>
      <c r="U98" s="39">
        <v>1</v>
      </c>
      <c r="V98" s="39">
        <v>0.4</v>
      </c>
      <c r="W98" s="42">
        <v>0.01</v>
      </c>
      <c r="X98" s="42">
        <v>0</v>
      </c>
      <c r="Y98" s="42">
        <v>0</v>
      </c>
      <c r="Z98" s="39">
        <v>0</v>
      </c>
      <c r="AA98" s="39">
        <v>0.25</v>
      </c>
      <c r="AB98">
        <v>760</v>
      </c>
      <c r="AC98">
        <v>1000</v>
      </c>
      <c r="AD98">
        <v>1500</v>
      </c>
      <c r="AE98">
        <v>200</v>
      </c>
      <c r="AF98">
        <v>16</v>
      </c>
    </row>
    <row r="99" spans="1:32" x14ac:dyDescent="0.25">
      <c r="A99">
        <v>1108</v>
      </c>
      <c r="B99"/>
      <c r="C99" s="31" t="s">
        <v>157</v>
      </c>
      <c r="D99" s="31" t="s">
        <v>158</v>
      </c>
      <c r="E99" s="42">
        <v>7.4999999999999997E-2</v>
      </c>
      <c r="F99" s="42">
        <v>0.45</v>
      </c>
      <c r="G99" s="42">
        <v>0.02</v>
      </c>
      <c r="H99" s="42">
        <v>0</v>
      </c>
      <c r="I99" s="42">
        <v>0</v>
      </c>
      <c r="J99" s="42">
        <v>0</v>
      </c>
      <c r="K99" s="42">
        <v>0</v>
      </c>
      <c r="L99" s="39">
        <v>0</v>
      </c>
      <c r="M99" s="39">
        <v>0</v>
      </c>
      <c r="N99" s="39">
        <v>0</v>
      </c>
      <c r="O99" s="39">
        <v>0</v>
      </c>
      <c r="P99" s="42">
        <v>0.2</v>
      </c>
      <c r="Q99" s="42">
        <v>0</v>
      </c>
      <c r="R99" s="42">
        <v>0.45</v>
      </c>
      <c r="S99" s="42">
        <v>0.02</v>
      </c>
      <c r="T99" s="42"/>
      <c r="U99" s="39">
        <v>1</v>
      </c>
      <c r="V99" s="39">
        <v>0.4</v>
      </c>
      <c r="W99" s="42">
        <v>0.01</v>
      </c>
      <c r="X99" s="42">
        <v>0</v>
      </c>
      <c r="Y99" s="42">
        <v>0</v>
      </c>
      <c r="Z99" s="39">
        <v>0</v>
      </c>
      <c r="AA99" s="39">
        <v>0.25</v>
      </c>
      <c r="AB99">
        <v>280</v>
      </c>
      <c r="AC99">
        <v>400</v>
      </c>
      <c r="AD99">
        <v>520</v>
      </c>
      <c r="AE99">
        <v>200</v>
      </c>
      <c r="AF99">
        <v>16</v>
      </c>
    </row>
    <row r="100" spans="1:32" x14ac:dyDescent="0.25">
      <c r="A100">
        <v>1109</v>
      </c>
      <c r="B100" s="34">
        <v>35</v>
      </c>
      <c r="C100" s="31" t="s">
        <v>159</v>
      </c>
      <c r="D100" s="31" t="s">
        <v>160</v>
      </c>
      <c r="E100" s="42">
        <v>0.13</v>
      </c>
      <c r="F100" s="42">
        <v>0.45</v>
      </c>
      <c r="G100" s="42">
        <v>0.02</v>
      </c>
      <c r="H100" s="42">
        <v>0</v>
      </c>
      <c r="I100" s="42">
        <v>0.05</v>
      </c>
      <c r="J100" s="42">
        <v>0</v>
      </c>
      <c r="K100" s="42">
        <v>0</v>
      </c>
      <c r="L100" s="39">
        <v>0</v>
      </c>
      <c r="M100" s="39">
        <v>0</v>
      </c>
      <c r="N100" s="39">
        <v>0</v>
      </c>
      <c r="O100" s="39">
        <v>0</v>
      </c>
      <c r="P100" s="42">
        <v>0.9</v>
      </c>
      <c r="Q100" s="42">
        <v>0.05</v>
      </c>
      <c r="R100" s="42">
        <v>0.45</v>
      </c>
      <c r="S100" s="42">
        <v>1.9E-2</v>
      </c>
      <c r="T100" s="42">
        <v>0.10101010101010099</v>
      </c>
      <c r="U100" s="39">
        <v>1</v>
      </c>
      <c r="V100" s="39">
        <v>0.4</v>
      </c>
      <c r="W100" s="42">
        <v>0.01</v>
      </c>
      <c r="X100" s="42">
        <v>0</v>
      </c>
      <c r="Y100" s="42">
        <v>0</v>
      </c>
      <c r="Z100" s="39">
        <v>0</v>
      </c>
      <c r="AA100" s="39">
        <v>0.25</v>
      </c>
      <c r="AB100">
        <f>(280+560+760)/3</f>
        <v>533.33333333333337</v>
      </c>
      <c r="AC100">
        <f>(400+800+1000)/3</f>
        <v>733.33333333333337</v>
      </c>
      <c r="AD100">
        <f>(600+1200+1500)/3</f>
        <v>1100</v>
      </c>
      <c r="AE100">
        <v>300</v>
      </c>
      <c r="AF100">
        <v>16</v>
      </c>
    </row>
    <row r="101" spans="1:32" x14ac:dyDescent="0.25">
      <c r="A101">
        <v>1110</v>
      </c>
      <c r="B101"/>
      <c r="C101" s="31" t="s">
        <v>161</v>
      </c>
      <c r="D101" s="31" t="s">
        <v>162</v>
      </c>
      <c r="E101" s="42">
        <v>0.86</v>
      </c>
      <c r="F101" s="42">
        <v>0.45</v>
      </c>
      <c r="G101" s="42">
        <v>2.5000000000000001E-2</v>
      </c>
      <c r="H101" s="42">
        <v>0</v>
      </c>
      <c r="I101" s="42">
        <v>0</v>
      </c>
      <c r="J101" s="42">
        <v>0</v>
      </c>
      <c r="K101" s="42">
        <v>0</v>
      </c>
      <c r="L101" s="39">
        <v>0</v>
      </c>
      <c r="M101" s="39">
        <v>0</v>
      </c>
      <c r="N101" s="39">
        <v>0</v>
      </c>
      <c r="O101" s="39">
        <v>0</v>
      </c>
      <c r="P101" s="42">
        <v>8</v>
      </c>
      <c r="Q101" s="42">
        <v>0</v>
      </c>
      <c r="R101" s="42">
        <v>0.45</v>
      </c>
      <c r="S101" s="42">
        <v>2E-3</v>
      </c>
      <c r="T101" s="42"/>
      <c r="U101" s="39">
        <v>1</v>
      </c>
      <c r="V101" s="39">
        <v>0.4</v>
      </c>
      <c r="W101" s="42">
        <v>0.01</v>
      </c>
      <c r="X101" s="42">
        <v>0</v>
      </c>
      <c r="Y101" s="42">
        <v>0</v>
      </c>
      <c r="Z101" s="39">
        <v>0</v>
      </c>
      <c r="AA101" s="39">
        <v>0.25</v>
      </c>
      <c r="AB101">
        <v>280</v>
      </c>
      <c r="AC101">
        <v>400</v>
      </c>
      <c r="AD101">
        <v>600</v>
      </c>
      <c r="AE101">
        <v>20</v>
      </c>
      <c r="AF101">
        <v>16</v>
      </c>
    </row>
    <row r="102" spans="1:32" x14ac:dyDescent="0.25">
      <c r="A102">
        <v>1111</v>
      </c>
      <c r="B102"/>
      <c r="C102" s="31" t="s">
        <v>163</v>
      </c>
      <c r="D102" s="31" t="s">
        <v>164</v>
      </c>
      <c r="E102" s="42">
        <v>0.86</v>
      </c>
      <c r="F102" s="42">
        <v>0.45</v>
      </c>
      <c r="G102" s="42">
        <v>2.5000000000000001E-2</v>
      </c>
      <c r="H102" s="42">
        <v>0</v>
      </c>
      <c r="I102" s="42">
        <v>0</v>
      </c>
      <c r="J102" s="42">
        <v>0</v>
      </c>
      <c r="K102" s="42">
        <v>0</v>
      </c>
      <c r="L102" s="39">
        <v>0</v>
      </c>
      <c r="M102" s="39">
        <v>0</v>
      </c>
      <c r="N102" s="39">
        <v>0</v>
      </c>
      <c r="O102" s="39">
        <v>0</v>
      </c>
      <c r="P102" s="42">
        <v>8</v>
      </c>
      <c r="Q102" s="42">
        <v>0</v>
      </c>
      <c r="R102" s="42">
        <v>0.45</v>
      </c>
      <c r="S102" s="42">
        <v>2E-3</v>
      </c>
      <c r="T102" s="42"/>
      <c r="U102" s="39">
        <v>1</v>
      </c>
      <c r="V102" s="39">
        <v>0.4</v>
      </c>
      <c r="W102" s="42">
        <v>0.01</v>
      </c>
      <c r="X102" s="42">
        <v>0</v>
      </c>
      <c r="Y102" s="42">
        <v>0</v>
      </c>
      <c r="Z102" s="39">
        <v>0</v>
      </c>
      <c r="AA102" s="39">
        <v>0.25</v>
      </c>
      <c r="AB102">
        <v>280</v>
      </c>
      <c r="AC102">
        <v>400</v>
      </c>
      <c r="AD102">
        <v>600</v>
      </c>
      <c r="AE102">
        <v>20</v>
      </c>
      <c r="AF102">
        <v>16</v>
      </c>
    </row>
    <row r="103" spans="1:32" x14ac:dyDescent="0.25">
      <c r="A103">
        <v>1112</v>
      </c>
      <c r="B103"/>
      <c r="C103" s="31" t="s">
        <v>228</v>
      </c>
      <c r="D103" s="31" t="s">
        <v>229</v>
      </c>
      <c r="E103" s="42">
        <v>0.08</v>
      </c>
      <c r="F103" s="42">
        <v>0.45</v>
      </c>
      <c r="G103" s="42">
        <v>2.5000000000000001E-2</v>
      </c>
      <c r="H103" s="42">
        <v>0</v>
      </c>
      <c r="I103" s="42">
        <v>0</v>
      </c>
      <c r="J103" s="42">
        <v>0</v>
      </c>
      <c r="K103" s="42">
        <v>0</v>
      </c>
      <c r="L103" s="39">
        <v>0</v>
      </c>
      <c r="M103" s="39">
        <v>0</v>
      </c>
      <c r="N103" s="39">
        <v>0</v>
      </c>
      <c r="O103" s="39">
        <v>0</v>
      </c>
      <c r="P103" s="42">
        <v>0.91</v>
      </c>
      <c r="Q103" s="42">
        <v>0.11</v>
      </c>
      <c r="R103" s="42">
        <v>0.45</v>
      </c>
      <c r="S103" s="42">
        <v>2.7E-2</v>
      </c>
      <c r="T103" s="42">
        <v>0</v>
      </c>
      <c r="U103" s="39">
        <v>1</v>
      </c>
      <c r="V103" s="39">
        <v>0.4</v>
      </c>
      <c r="W103" s="42">
        <v>0</v>
      </c>
      <c r="X103" s="42">
        <v>0</v>
      </c>
      <c r="Y103" s="42">
        <v>0</v>
      </c>
      <c r="Z103" s="39">
        <v>0</v>
      </c>
      <c r="AA103" s="39">
        <v>0.25</v>
      </c>
      <c r="AD103">
        <v>1240</v>
      </c>
    </row>
    <row r="104" spans="1:32" s="38" customFormat="1" x14ac:dyDescent="0.25">
      <c r="A104" s="38">
        <v>1113</v>
      </c>
      <c r="B104" s="34"/>
      <c r="C104" s="31" t="s">
        <v>227</v>
      </c>
      <c r="D104" s="31" t="s">
        <v>446</v>
      </c>
      <c r="E104" s="42">
        <v>0.11</v>
      </c>
      <c r="F104" s="42">
        <v>0.45</v>
      </c>
      <c r="G104" s="42">
        <v>3.2000000000000001E-2</v>
      </c>
      <c r="H104" s="42">
        <v>0</v>
      </c>
      <c r="I104" s="42">
        <v>0</v>
      </c>
      <c r="J104" s="42">
        <v>0</v>
      </c>
      <c r="K104" s="42">
        <v>0</v>
      </c>
      <c r="L104" s="39">
        <v>0</v>
      </c>
      <c r="M104" s="39">
        <v>0</v>
      </c>
      <c r="N104" s="39">
        <v>0</v>
      </c>
      <c r="O104" s="39">
        <v>0</v>
      </c>
      <c r="P104" s="42">
        <v>0.35</v>
      </c>
      <c r="Q104" s="42">
        <v>7.0000000000000007E-2</v>
      </c>
      <c r="R104" s="42">
        <v>0.45</v>
      </c>
      <c r="S104" s="42">
        <v>0.04</v>
      </c>
      <c r="T104" s="42"/>
      <c r="U104" s="39">
        <v>1</v>
      </c>
      <c r="V104" s="39">
        <v>0.4</v>
      </c>
      <c r="W104" s="42"/>
      <c r="X104" s="42"/>
      <c r="Y104" s="42">
        <v>0</v>
      </c>
      <c r="Z104" s="39">
        <v>0</v>
      </c>
      <c r="AA104" s="39">
        <v>0.25</v>
      </c>
      <c r="AD104" s="38">
        <v>1040</v>
      </c>
    </row>
    <row r="105" spans="1:32" s="38" customFormat="1" x14ac:dyDescent="0.25">
      <c r="A105" s="38">
        <v>1114</v>
      </c>
      <c r="B105" s="34"/>
      <c r="C105" s="31" t="s">
        <v>141</v>
      </c>
      <c r="D105" s="31" t="s">
        <v>141</v>
      </c>
      <c r="E105" s="42"/>
      <c r="F105" s="42"/>
      <c r="G105" s="42"/>
      <c r="H105" s="42"/>
      <c r="I105" s="42"/>
      <c r="J105" s="42"/>
      <c r="K105" s="42"/>
      <c r="L105" s="39">
        <v>0</v>
      </c>
      <c r="M105" s="39">
        <v>0</v>
      </c>
      <c r="N105" s="39">
        <v>0</v>
      </c>
      <c r="O105" s="39">
        <v>0</v>
      </c>
      <c r="P105" s="42"/>
      <c r="Q105" s="42"/>
      <c r="R105" s="42"/>
      <c r="S105" s="42"/>
      <c r="T105" s="42"/>
      <c r="U105" s="39">
        <v>1</v>
      </c>
      <c r="V105" s="39">
        <v>0.4</v>
      </c>
      <c r="W105" s="42"/>
      <c r="X105" s="42"/>
      <c r="Y105" s="42">
        <v>0</v>
      </c>
      <c r="Z105" s="39">
        <v>0</v>
      </c>
      <c r="AA105" s="39">
        <v>0.25</v>
      </c>
    </row>
    <row r="106" spans="1:32" s="38" customFormat="1" x14ac:dyDescent="0.25">
      <c r="A106" s="38">
        <v>1115</v>
      </c>
      <c r="B106" s="34"/>
      <c r="C106" s="31" t="s">
        <v>141</v>
      </c>
      <c r="D106" s="31" t="s">
        <v>141</v>
      </c>
      <c r="E106" s="42"/>
      <c r="F106" s="42"/>
      <c r="G106" s="42"/>
      <c r="H106" s="42"/>
      <c r="I106" s="42"/>
      <c r="J106" s="42"/>
      <c r="K106" s="42"/>
      <c r="L106" s="39">
        <v>0</v>
      </c>
      <c r="M106" s="39">
        <v>0</v>
      </c>
      <c r="N106" s="39">
        <v>0</v>
      </c>
      <c r="O106" s="39">
        <v>0</v>
      </c>
      <c r="P106" s="42"/>
      <c r="Q106" s="42"/>
      <c r="R106" s="42"/>
      <c r="S106" s="42"/>
      <c r="T106" s="42"/>
      <c r="U106" s="39">
        <v>1</v>
      </c>
      <c r="V106" s="39">
        <v>0.4</v>
      </c>
      <c r="W106" s="42"/>
      <c r="X106" s="42"/>
      <c r="Y106" s="42">
        <v>0</v>
      </c>
      <c r="Z106" s="39">
        <v>0</v>
      </c>
      <c r="AA106" s="39">
        <v>0.25</v>
      </c>
    </row>
    <row r="107" spans="1:32" s="38" customFormat="1" x14ac:dyDescent="0.25">
      <c r="A107" s="38">
        <v>1116</v>
      </c>
      <c r="B107" s="34"/>
      <c r="C107" s="31" t="s">
        <v>141</v>
      </c>
      <c r="D107" s="31" t="s">
        <v>141</v>
      </c>
      <c r="E107" s="42"/>
      <c r="F107" s="42"/>
      <c r="G107" s="42"/>
      <c r="H107" s="42"/>
      <c r="I107" s="42"/>
      <c r="J107" s="42"/>
      <c r="K107" s="42"/>
      <c r="L107" s="39">
        <v>0</v>
      </c>
      <c r="M107" s="39">
        <v>0</v>
      </c>
      <c r="N107" s="39">
        <v>0</v>
      </c>
      <c r="O107" s="39">
        <v>0</v>
      </c>
      <c r="P107" s="42"/>
      <c r="Q107" s="42"/>
      <c r="R107" s="42"/>
      <c r="S107" s="42"/>
      <c r="T107" s="42"/>
      <c r="U107" s="39">
        <v>1</v>
      </c>
      <c r="V107" s="39">
        <v>0.4</v>
      </c>
      <c r="W107" s="42"/>
      <c r="X107" s="42"/>
      <c r="Y107" s="42">
        <v>0</v>
      </c>
      <c r="Z107" s="39">
        <v>0</v>
      </c>
      <c r="AA107" s="39">
        <v>0.25</v>
      </c>
    </row>
    <row r="108" spans="1:32" s="38" customFormat="1" x14ac:dyDescent="0.25">
      <c r="A108" s="38">
        <v>1117</v>
      </c>
      <c r="B108" s="34"/>
      <c r="C108" s="31" t="s">
        <v>141</v>
      </c>
      <c r="D108" s="31" t="s">
        <v>141</v>
      </c>
      <c r="E108" s="42"/>
      <c r="F108" s="42"/>
      <c r="G108" s="42"/>
      <c r="H108" s="42"/>
      <c r="I108" s="42"/>
      <c r="J108" s="42"/>
      <c r="K108" s="42"/>
      <c r="L108" s="39">
        <v>0</v>
      </c>
      <c r="M108" s="39">
        <v>0</v>
      </c>
      <c r="N108" s="39">
        <v>0</v>
      </c>
      <c r="O108" s="39">
        <v>0</v>
      </c>
      <c r="P108" s="42"/>
      <c r="Q108" s="42"/>
      <c r="R108" s="42"/>
      <c r="S108" s="42"/>
      <c r="T108" s="42"/>
      <c r="U108" s="39">
        <v>1</v>
      </c>
      <c r="V108" s="39">
        <v>0.4</v>
      </c>
      <c r="W108" s="42"/>
      <c r="X108" s="42"/>
      <c r="Y108" s="42">
        <v>0</v>
      </c>
      <c r="Z108" s="39">
        <v>0</v>
      </c>
      <c r="AA108" s="39">
        <v>0.25</v>
      </c>
    </row>
    <row r="109" spans="1:32" s="38" customFormat="1" x14ac:dyDescent="0.25">
      <c r="A109" s="38">
        <v>1118</v>
      </c>
      <c r="B109" s="34"/>
      <c r="C109" s="31" t="s">
        <v>141</v>
      </c>
      <c r="D109" s="31" t="s">
        <v>141</v>
      </c>
      <c r="E109" s="42"/>
      <c r="F109" s="42"/>
      <c r="G109" s="42"/>
      <c r="H109" s="42"/>
      <c r="I109" s="42"/>
      <c r="J109" s="42"/>
      <c r="K109" s="42"/>
      <c r="L109" s="39">
        <v>0</v>
      </c>
      <c r="M109" s="39">
        <v>0</v>
      </c>
      <c r="N109" s="39">
        <v>0</v>
      </c>
      <c r="O109" s="39">
        <v>0</v>
      </c>
      <c r="P109" s="42"/>
      <c r="Q109" s="42"/>
      <c r="R109" s="42"/>
      <c r="S109" s="42"/>
      <c r="T109" s="42"/>
      <c r="U109" s="39">
        <v>1</v>
      </c>
      <c r="V109" s="39">
        <v>0.4</v>
      </c>
      <c r="W109" s="42"/>
      <c r="X109" s="42"/>
      <c r="Y109" s="42">
        <v>0</v>
      </c>
      <c r="Z109" s="39">
        <v>0</v>
      </c>
      <c r="AA109" s="39">
        <v>0.25</v>
      </c>
    </row>
    <row r="110" spans="1:32" x14ac:dyDescent="0.25">
      <c r="A110" s="38">
        <v>1119</v>
      </c>
      <c r="B110" s="34"/>
      <c r="C110" s="31" t="s">
        <v>165</v>
      </c>
      <c r="D110" s="31" t="s">
        <v>166</v>
      </c>
      <c r="E110" s="42">
        <v>0.15</v>
      </c>
      <c r="F110" s="42">
        <v>0.45</v>
      </c>
      <c r="G110" s="42">
        <v>0.03</v>
      </c>
      <c r="H110" s="42">
        <v>0</v>
      </c>
      <c r="I110" s="42">
        <v>0</v>
      </c>
      <c r="J110" s="42">
        <v>0</v>
      </c>
      <c r="K110" s="42">
        <v>0</v>
      </c>
      <c r="L110" s="39">
        <v>0</v>
      </c>
      <c r="M110" s="39">
        <v>0</v>
      </c>
      <c r="N110" s="39">
        <v>0</v>
      </c>
      <c r="O110" s="39">
        <v>0</v>
      </c>
      <c r="P110" s="42">
        <v>0.25</v>
      </c>
      <c r="Q110" s="42">
        <v>0</v>
      </c>
      <c r="R110" s="42">
        <v>0.45</v>
      </c>
      <c r="S110" s="42">
        <v>2.5000000000000001E-2</v>
      </c>
      <c r="T110" s="42"/>
      <c r="U110" s="39">
        <v>1</v>
      </c>
      <c r="V110" s="39">
        <v>0.4</v>
      </c>
      <c r="W110" s="42">
        <v>0.01</v>
      </c>
      <c r="X110" s="42">
        <v>0</v>
      </c>
      <c r="Y110" s="42">
        <v>0</v>
      </c>
      <c r="Z110" s="39">
        <v>0</v>
      </c>
      <c r="AA110" s="39">
        <v>0.25</v>
      </c>
      <c r="AB110" s="38">
        <v>280</v>
      </c>
      <c r="AC110" s="38">
        <v>400</v>
      </c>
      <c r="AD110" s="38">
        <v>600</v>
      </c>
      <c r="AE110" s="38">
        <v>20</v>
      </c>
      <c r="AF110">
        <v>100</v>
      </c>
    </row>
    <row r="111" spans="1:32" x14ac:dyDescent="0.25">
      <c r="A111" s="38">
        <v>1120</v>
      </c>
      <c r="B111" s="34"/>
      <c r="C111" s="31" t="s">
        <v>167</v>
      </c>
      <c r="D111" s="31" t="s">
        <v>168</v>
      </c>
      <c r="E111" s="42">
        <v>0.05</v>
      </c>
      <c r="F111" s="42">
        <v>0.45</v>
      </c>
      <c r="G111" s="42">
        <v>2.5000000000000001E-2</v>
      </c>
      <c r="H111" s="42">
        <v>0</v>
      </c>
      <c r="I111" s="42">
        <v>0</v>
      </c>
      <c r="J111" s="42">
        <v>0</v>
      </c>
      <c r="K111" s="42">
        <v>0</v>
      </c>
      <c r="L111" s="39">
        <v>0</v>
      </c>
      <c r="M111" s="39">
        <v>0</v>
      </c>
      <c r="N111" s="39">
        <v>0</v>
      </c>
      <c r="O111" s="39">
        <v>0</v>
      </c>
      <c r="P111" s="42">
        <v>0.25</v>
      </c>
      <c r="Q111" s="42">
        <v>0</v>
      </c>
      <c r="R111" s="42">
        <v>0.45</v>
      </c>
      <c r="S111" s="42">
        <v>0.02</v>
      </c>
      <c r="T111" s="42"/>
      <c r="U111" s="39">
        <v>1</v>
      </c>
      <c r="V111" s="39">
        <v>0.4</v>
      </c>
      <c r="W111" s="42">
        <v>0.01</v>
      </c>
      <c r="X111" s="42">
        <v>0</v>
      </c>
      <c r="Y111" s="42">
        <v>0</v>
      </c>
      <c r="Z111" s="39">
        <v>0</v>
      </c>
      <c r="AA111" s="39">
        <v>0.25</v>
      </c>
      <c r="AB111" s="38">
        <v>280</v>
      </c>
      <c r="AC111" s="38">
        <v>400</v>
      </c>
      <c r="AD111" s="38">
        <v>600</v>
      </c>
      <c r="AF111">
        <v>16</v>
      </c>
    </row>
  </sheetData>
  <pageMargins left="0.7" right="0.7" top="0.78749999999999998" bottom="0.78749999999999998" header="0.51180555555555496" footer="0.51180555555555496"/>
  <pageSetup paperSize="0" scale="0" firstPageNumber="0" orientation="portrait" usePrinterDefaults="0"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FF"/>
  </sheetPr>
  <dimension ref="A1:Z58"/>
  <sheetViews>
    <sheetView tabSelected="1" topLeftCell="A7" zoomScale="65" zoomScaleNormal="65" workbookViewId="0">
      <selection activeCell="C37" sqref="C37"/>
    </sheetView>
  </sheetViews>
  <sheetFormatPr defaultColWidth="9.140625" defaultRowHeight="15" x14ac:dyDescent="0.25"/>
  <cols>
    <col min="1" max="3" width="11.42578125"/>
    <col min="4" max="4" width="37.7109375"/>
    <col min="5" max="8" width="11.42578125" style="55"/>
    <col min="9" max="9" width="13.7109375"/>
    <col min="10" max="1025" width="11.42578125"/>
  </cols>
  <sheetData>
    <row r="1" spans="1:18" x14ac:dyDescent="0.25">
      <c r="A1" t="s">
        <v>169</v>
      </c>
      <c r="C1" t="s">
        <v>60</v>
      </c>
      <c r="D1" t="s">
        <v>61</v>
      </c>
      <c r="E1" s="55" t="s">
        <v>170</v>
      </c>
      <c r="F1" s="55" t="s">
        <v>171</v>
      </c>
      <c r="G1" s="56" t="s">
        <v>172</v>
      </c>
      <c r="H1" s="55" t="s">
        <v>173</v>
      </c>
      <c r="I1" t="s">
        <v>174</v>
      </c>
      <c r="J1" s="20" t="s">
        <v>218</v>
      </c>
      <c r="R1" t="s">
        <v>220</v>
      </c>
    </row>
    <row r="2" spans="1:18" x14ac:dyDescent="0.25">
      <c r="A2">
        <v>1</v>
      </c>
      <c r="B2">
        <v>2</v>
      </c>
      <c r="C2">
        <v>3</v>
      </c>
      <c r="D2">
        <v>4</v>
      </c>
      <c r="E2" s="55">
        <v>5</v>
      </c>
      <c r="F2" s="55">
        <v>6</v>
      </c>
      <c r="G2" s="57">
        <v>7</v>
      </c>
      <c r="H2" s="55">
        <v>8</v>
      </c>
      <c r="I2">
        <v>9</v>
      </c>
      <c r="J2" s="20">
        <v>10</v>
      </c>
      <c r="R2">
        <v>8</v>
      </c>
    </row>
    <row r="3" spans="1:18" s="7" customFormat="1" x14ac:dyDescent="0.25">
      <c r="E3" s="55"/>
      <c r="F3" s="55"/>
      <c r="G3" s="56"/>
      <c r="H3" s="55"/>
    </row>
    <row r="4" spans="1:18" s="15" customFormat="1" x14ac:dyDescent="0.25">
      <c r="A4" s="15">
        <v>0</v>
      </c>
      <c r="C4" s="15" t="s">
        <v>64</v>
      </c>
      <c r="D4" s="15" t="s">
        <v>64</v>
      </c>
      <c r="E4" s="55">
        <v>0</v>
      </c>
      <c r="F4" s="55">
        <v>0</v>
      </c>
      <c r="G4" s="56">
        <v>0</v>
      </c>
      <c r="H4" s="55">
        <v>0</v>
      </c>
      <c r="I4" s="15">
        <v>0</v>
      </c>
      <c r="R4" s="15">
        <v>0</v>
      </c>
    </row>
    <row r="5" spans="1:18" x14ac:dyDescent="0.25">
      <c r="A5">
        <v>1000</v>
      </c>
      <c r="C5" t="s">
        <v>175</v>
      </c>
      <c r="D5" t="s">
        <v>176</v>
      </c>
      <c r="E5" s="58">
        <v>7.4999999999999997E-2</v>
      </c>
      <c r="F5" s="55">
        <v>0.42</v>
      </c>
      <c r="G5" s="56">
        <v>5.2999999999999999E-2</v>
      </c>
      <c r="H5" s="55">
        <f>1.6674*POWER(F5/G5,-0.768)</f>
        <v>0.34011689839384363</v>
      </c>
      <c r="I5">
        <v>9</v>
      </c>
      <c r="R5">
        <v>0.4</v>
      </c>
    </row>
    <row r="6" spans="1:18" x14ac:dyDescent="0.25">
      <c r="A6">
        <v>1001</v>
      </c>
      <c r="E6" s="58"/>
      <c r="F6" s="59"/>
      <c r="G6" s="56"/>
      <c r="H6" s="59"/>
    </row>
    <row r="7" spans="1:18" x14ac:dyDescent="0.25">
      <c r="A7">
        <v>1002</v>
      </c>
      <c r="E7" s="58"/>
      <c r="F7" s="59"/>
      <c r="G7" s="56"/>
      <c r="H7" s="59"/>
    </row>
    <row r="8" spans="1:18" x14ac:dyDescent="0.25">
      <c r="A8">
        <v>1003</v>
      </c>
      <c r="E8" s="58"/>
      <c r="F8" s="59"/>
      <c r="G8" s="56"/>
      <c r="H8" s="59"/>
    </row>
    <row r="9" spans="1:18" x14ac:dyDescent="0.25">
      <c r="A9">
        <v>1004</v>
      </c>
      <c r="E9" s="58"/>
      <c r="F9" s="59"/>
      <c r="G9" s="56"/>
      <c r="H9" s="59"/>
    </row>
    <row r="10" spans="1:18" x14ac:dyDescent="0.25">
      <c r="A10">
        <v>1005</v>
      </c>
      <c r="E10" s="58"/>
      <c r="F10" s="59"/>
      <c r="G10" s="56"/>
      <c r="H10" s="59"/>
    </row>
    <row r="11" spans="1:18" x14ac:dyDescent="0.25">
      <c r="A11">
        <v>1006</v>
      </c>
      <c r="E11" s="58"/>
      <c r="F11" s="59"/>
      <c r="G11" s="56"/>
      <c r="H11" s="59"/>
    </row>
    <row r="12" spans="1:18" x14ac:dyDescent="0.25">
      <c r="A12">
        <v>1007</v>
      </c>
      <c r="E12" s="58"/>
      <c r="F12" s="59"/>
      <c r="G12" s="56"/>
      <c r="H12" s="59"/>
    </row>
    <row r="13" spans="1:18" x14ac:dyDescent="0.25">
      <c r="A13">
        <v>1008</v>
      </c>
      <c r="E13" s="58"/>
      <c r="F13" s="59"/>
      <c r="G13" s="56"/>
      <c r="H13" s="59"/>
    </row>
    <row r="14" spans="1:18" x14ac:dyDescent="0.25">
      <c r="A14">
        <v>1009</v>
      </c>
      <c r="E14" s="58"/>
      <c r="F14" s="59"/>
      <c r="G14" s="56"/>
      <c r="H14" s="59"/>
    </row>
    <row r="15" spans="1:18" x14ac:dyDescent="0.25">
      <c r="A15">
        <v>1010</v>
      </c>
      <c r="C15" t="s">
        <v>177</v>
      </c>
      <c r="D15" t="s">
        <v>178</v>
      </c>
      <c r="E15" s="58">
        <v>0.05</v>
      </c>
      <c r="F15" s="55">
        <v>0.3</v>
      </c>
      <c r="G15" s="56">
        <v>8.3000000000000004E-2</v>
      </c>
      <c r="H15" s="55">
        <f>1.6674*POWER(F15/G15,-0.768)</f>
        <v>0.62153079066670924</v>
      </c>
      <c r="I15">
        <v>0</v>
      </c>
      <c r="R15">
        <v>0.75</v>
      </c>
    </row>
    <row r="16" spans="1:18" x14ac:dyDescent="0.25">
      <c r="A16">
        <v>1020</v>
      </c>
      <c r="C16" t="s">
        <v>179</v>
      </c>
      <c r="D16" t="s">
        <v>180</v>
      </c>
      <c r="E16" s="58">
        <v>0.03</v>
      </c>
      <c r="F16" s="55">
        <v>0.375</v>
      </c>
      <c r="G16" s="56">
        <v>0.06</v>
      </c>
      <c r="H16" s="55">
        <f t="shared" ref="H16:H22" si="0">1.6674*POWER(F16/G16,-0.768)</f>
        <v>0.40813509786678548</v>
      </c>
      <c r="I16">
        <v>8</v>
      </c>
      <c r="R16">
        <v>0.6</v>
      </c>
    </row>
    <row r="17" spans="1:26" x14ac:dyDescent="0.25">
      <c r="A17">
        <v>1030</v>
      </c>
      <c r="C17" t="s">
        <v>181</v>
      </c>
      <c r="D17" t="s">
        <v>182</v>
      </c>
      <c r="E17" s="58">
        <v>0.55000000000000004</v>
      </c>
      <c r="F17" s="58">
        <v>0.27200000000000002</v>
      </c>
      <c r="G17" s="56">
        <v>5.3999999999999999E-2</v>
      </c>
      <c r="H17" s="55">
        <f t="shared" si="0"/>
        <v>0.48169183678904703</v>
      </c>
      <c r="I17">
        <v>30</v>
      </c>
      <c r="R17">
        <v>0.65</v>
      </c>
    </row>
    <row r="18" spans="1:26" x14ac:dyDescent="0.25">
      <c r="A18">
        <v>1040</v>
      </c>
      <c r="C18" t="s">
        <v>183</v>
      </c>
      <c r="D18" t="s">
        <v>184</v>
      </c>
      <c r="E18" s="58">
        <v>0.2</v>
      </c>
      <c r="F18" s="58">
        <v>0.4</v>
      </c>
      <c r="G18" s="56">
        <v>2.75E-2</v>
      </c>
      <c r="H18" s="55">
        <f t="shared" si="0"/>
        <v>0.21333653286676069</v>
      </c>
      <c r="I18">
        <v>28</v>
      </c>
      <c r="K18" t="s">
        <v>217</v>
      </c>
      <c r="L18" t="s">
        <v>34</v>
      </c>
      <c r="M18" t="s">
        <v>219</v>
      </c>
      <c r="N18" t="s">
        <v>54</v>
      </c>
      <c r="O18" t="s">
        <v>221</v>
      </c>
      <c r="P18" t="s">
        <v>222</v>
      </c>
      <c r="Q18" t="s">
        <v>223</v>
      </c>
      <c r="R18">
        <v>0</v>
      </c>
    </row>
    <row r="19" spans="1:26" x14ac:dyDescent="0.25">
      <c r="A19">
        <v>1041</v>
      </c>
      <c r="C19" t="s">
        <v>185</v>
      </c>
      <c r="D19" t="s">
        <v>186</v>
      </c>
      <c r="E19" s="58">
        <v>0.25</v>
      </c>
      <c r="F19" s="58">
        <v>0.4</v>
      </c>
      <c r="G19" s="56">
        <v>2.5000000000000001E-2</v>
      </c>
      <c r="H19" s="55">
        <f t="shared" si="0"/>
        <v>0.19827851174445521</v>
      </c>
      <c r="I19">
        <v>40</v>
      </c>
      <c r="J19">
        <v>40</v>
      </c>
      <c r="K19">
        <f>1000*E19*F19</f>
        <v>100</v>
      </c>
      <c r="L19">
        <f>1000*E19*G19</f>
        <v>6.25</v>
      </c>
      <c r="M19">
        <f>K19/L19</f>
        <v>16</v>
      </c>
      <c r="N19">
        <f>L19*H19</f>
        <v>1.239240698402845</v>
      </c>
      <c r="O19">
        <f>K19/(L19-N19)</f>
        <v>19.957055204812072</v>
      </c>
      <c r="P19">
        <f>(L19-N19)*10</f>
        <v>50.107593015971545</v>
      </c>
      <c r="R19">
        <v>0.15</v>
      </c>
      <c r="S19">
        <f>5.7686*POWER(F19/G19,-0.886)</f>
        <v>0.49456129053523257</v>
      </c>
    </row>
    <row r="20" spans="1:26" x14ac:dyDescent="0.25">
      <c r="A20">
        <v>1042</v>
      </c>
      <c r="C20" t="s">
        <v>187</v>
      </c>
      <c r="D20" t="s">
        <v>188</v>
      </c>
      <c r="E20" s="58">
        <v>0.35</v>
      </c>
      <c r="F20" s="55">
        <v>0.4</v>
      </c>
      <c r="G20" s="56">
        <v>1.4999999999999999E-2</v>
      </c>
      <c r="H20" s="55">
        <f t="shared" si="0"/>
        <v>0.1339355331436316</v>
      </c>
      <c r="I20">
        <v>62</v>
      </c>
      <c r="R20">
        <v>0.1</v>
      </c>
    </row>
    <row r="21" spans="1:26" x14ac:dyDescent="0.25">
      <c r="A21">
        <v>1043</v>
      </c>
      <c r="C21" t="s">
        <v>189</v>
      </c>
      <c r="D21" t="s">
        <v>190</v>
      </c>
      <c r="E21" s="58">
        <v>0.3</v>
      </c>
      <c r="F21" s="58">
        <v>0.4</v>
      </c>
      <c r="G21" s="56">
        <v>1.2999999999999999E-2</v>
      </c>
      <c r="H21" s="55">
        <f t="shared" si="0"/>
        <v>0.11999584777735861</v>
      </c>
      <c r="I21">
        <v>28</v>
      </c>
      <c r="R21">
        <v>0</v>
      </c>
    </row>
    <row r="22" spans="1:26" x14ac:dyDescent="0.25">
      <c r="A22">
        <v>1044</v>
      </c>
      <c r="C22" t="s">
        <v>191</v>
      </c>
      <c r="D22" t="s">
        <v>192</v>
      </c>
      <c r="E22" s="58">
        <f>AVERAGE(E17,E21)</f>
        <v>0.42500000000000004</v>
      </c>
      <c r="F22" s="58">
        <f>AVERAGE(F17,F21)</f>
        <v>0.33600000000000002</v>
      </c>
      <c r="G22" s="58">
        <v>3.15E-2</v>
      </c>
      <c r="H22" s="55">
        <f t="shared" si="0"/>
        <v>0.27071588343741515</v>
      </c>
      <c r="I22">
        <v>28</v>
      </c>
      <c r="R22">
        <v>0</v>
      </c>
    </row>
    <row r="23" spans="1:26" x14ac:dyDescent="0.25">
      <c r="A23">
        <v>1045</v>
      </c>
      <c r="E23" s="58"/>
      <c r="F23" s="58"/>
      <c r="G23" s="56"/>
      <c r="H23" s="59"/>
    </row>
    <row r="24" spans="1:26" x14ac:dyDescent="0.25">
      <c r="A24">
        <v>1046</v>
      </c>
      <c r="E24" s="58"/>
      <c r="F24" s="58"/>
      <c r="G24" s="56"/>
      <c r="H24" s="59"/>
    </row>
    <row r="25" spans="1:26" x14ac:dyDescent="0.25">
      <c r="A25">
        <v>1047</v>
      </c>
      <c r="E25" s="59"/>
      <c r="F25" s="59"/>
      <c r="G25" s="59"/>
      <c r="H25" s="59"/>
    </row>
    <row r="26" spans="1:26" x14ac:dyDescent="0.25">
      <c r="A26">
        <v>1048</v>
      </c>
      <c r="E26" s="59"/>
      <c r="F26" s="59"/>
      <c r="G26" s="59"/>
      <c r="H26" s="59"/>
    </row>
    <row r="27" spans="1:26" x14ac:dyDescent="0.25">
      <c r="A27">
        <v>1049</v>
      </c>
      <c r="E27" s="59"/>
      <c r="F27" s="59"/>
      <c r="G27" s="59"/>
      <c r="H27" s="59"/>
    </row>
    <row r="28" spans="1:26" x14ac:dyDescent="0.25">
      <c r="A28">
        <v>1050</v>
      </c>
      <c r="C28" t="s">
        <v>193</v>
      </c>
      <c r="D28" t="s">
        <v>194</v>
      </c>
      <c r="E28" s="58">
        <v>0.15</v>
      </c>
      <c r="F28" s="58">
        <v>0.46</v>
      </c>
      <c r="G28" s="56">
        <f>F28/10</f>
        <v>4.5999999999999999E-2</v>
      </c>
      <c r="H28" s="55">
        <f>1.6674*POWER(F28/G28,-0.768)</f>
        <v>0.28447217754238074</v>
      </c>
      <c r="I28">
        <v>12</v>
      </c>
      <c r="J28">
        <f>(L28-L28*H28)*10/$P$19*40</f>
        <v>39.412325979289278</v>
      </c>
      <c r="K28">
        <f>1000*E28*F28</f>
        <v>69</v>
      </c>
      <c r="L28">
        <f>1000*E28*G28</f>
        <v>6.8999999999999995</v>
      </c>
      <c r="M28">
        <f>K28/L28</f>
        <v>10</v>
      </c>
      <c r="N28">
        <f>L28*H28</f>
        <v>1.962858025042427</v>
      </c>
      <c r="O28">
        <f>K28/(L28-N28)</f>
        <v>13.975696941668961</v>
      </c>
      <c r="P28">
        <f>(L28-N28)*10</f>
        <v>49.371419749575729</v>
      </c>
      <c r="Q28">
        <f>(K28*0.58)/$P$19*40</f>
        <v>31.947253971863162</v>
      </c>
      <c r="R28">
        <v>0.5</v>
      </c>
      <c r="S28">
        <f>5.7686*POWER(F28/G28,-0.886)</f>
        <v>0.75001582278428369</v>
      </c>
      <c r="T28">
        <f>K28*S28</f>
        <v>51.751091772115572</v>
      </c>
      <c r="U28">
        <f>T28/P$19*40</f>
        <v>41.311975816216247</v>
      </c>
    </row>
    <row r="29" spans="1:26" x14ac:dyDescent="0.25">
      <c r="A29">
        <v>1051</v>
      </c>
      <c r="C29" t="s">
        <v>212</v>
      </c>
      <c r="D29" t="s">
        <v>467</v>
      </c>
      <c r="E29" s="58">
        <v>0.15</v>
      </c>
      <c r="F29" s="58">
        <v>0.46</v>
      </c>
      <c r="G29" s="56">
        <f>F29/30</f>
        <v>1.5333333333333334E-2</v>
      </c>
      <c r="H29" s="55">
        <f>1.6674*POWER(F29/G29,-0.768)</f>
        <v>0.12235188750449739</v>
      </c>
      <c r="I29">
        <v>16</v>
      </c>
      <c r="J29">
        <f>(L29-L29*H29)*10/$P$19*40</f>
        <v>16.114050084954116</v>
      </c>
      <c r="K29">
        <f>1000*E29*F29</f>
        <v>69</v>
      </c>
      <c r="L29">
        <f>1000*E29*G29</f>
        <v>2.3000000000000003</v>
      </c>
      <c r="M29">
        <f>K29/L29</f>
        <v>29.999999999999996</v>
      </c>
      <c r="N29">
        <f>L29*H29</f>
        <v>0.28140934126034406</v>
      </c>
      <c r="O29">
        <f>K29/(L29-N29)</f>
        <v>34.182264592010647</v>
      </c>
      <c r="P29">
        <f>(L29-N29)*10</f>
        <v>20.185906587396563</v>
      </c>
      <c r="R29">
        <v>0.5</v>
      </c>
      <c r="S29">
        <f>5.7686*POWER(F29/G29,-0.886)</f>
        <v>0.28336159859668447</v>
      </c>
      <c r="T29">
        <f>K29*S29</f>
        <v>19.551950303171228</v>
      </c>
      <c r="U29">
        <f>T29/P$19*40</f>
        <v>15.607974062485216</v>
      </c>
      <c r="Y29">
        <f>40/G17/E17</f>
        <v>1346.8013468013467</v>
      </c>
      <c r="Z29">
        <f>Y29*E17*G17</f>
        <v>40</v>
      </c>
    </row>
    <row r="30" spans="1:26" x14ac:dyDescent="0.25">
      <c r="A30">
        <v>1052</v>
      </c>
      <c r="E30" s="58"/>
      <c r="F30" s="58"/>
      <c r="G30" s="56"/>
      <c r="H30" s="59"/>
    </row>
    <row r="31" spans="1:26" x14ac:dyDescent="0.25">
      <c r="A31">
        <v>1053</v>
      </c>
      <c r="E31" s="59"/>
      <c r="F31" s="59"/>
      <c r="G31" s="59"/>
      <c r="H31" s="59"/>
    </row>
    <row r="32" spans="1:26" x14ac:dyDescent="0.25">
      <c r="A32">
        <v>1054</v>
      </c>
      <c r="C32" t="s">
        <v>230</v>
      </c>
      <c r="D32" t="s">
        <v>462</v>
      </c>
      <c r="E32" s="59">
        <v>0.6</v>
      </c>
      <c r="F32" s="59">
        <v>0.15</v>
      </c>
      <c r="G32" s="59">
        <v>1.2999999999999999E-2</v>
      </c>
      <c r="H32" s="59">
        <v>0.1</v>
      </c>
      <c r="I32">
        <v>62</v>
      </c>
    </row>
    <row r="33" spans="1:21" x14ac:dyDescent="0.25">
      <c r="A33">
        <v>1055</v>
      </c>
      <c r="C33" t="s">
        <v>207</v>
      </c>
      <c r="D33" t="s">
        <v>208</v>
      </c>
      <c r="E33" s="59">
        <v>0.1</v>
      </c>
      <c r="F33" s="59">
        <v>0.42</v>
      </c>
      <c r="G33" s="59">
        <v>0.06</v>
      </c>
      <c r="H33" s="55">
        <f>1.6674*POWER(F33/G33,-0.768)</f>
        <v>0.37411446678205584</v>
      </c>
      <c r="I33">
        <v>12</v>
      </c>
      <c r="J33">
        <f>(L33-L33*H33)*10/$P$19*40</f>
        <v>29.977997131977002</v>
      </c>
      <c r="K33">
        <f>1000*E33*F33</f>
        <v>42</v>
      </c>
      <c r="L33">
        <f>1000*E33*G33</f>
        <v>6</v>
      </c>
      <c r="M33">
        <f>K33/L33</f>
        <v>7</v>
      </c>
      <c r="N33">
        <f>L33*H33</f>
        <v>2.2446868006923353</v>
      </c>
      <c r="O33">
        <f>K33/(L33-N33)</f>
        <v>11.184153696619282</v>
      </c>
      <c r="R33">
        <v>0.4</v>
      </c>
      <c r="S33">
        <f>5.7686*POWER(F33/G33,-0.886)</f>
        <v>1.0287587975907269</v>
      </c>
    </row>
    <row r="34" spans="1:21" x14ac:dyDescent="0.25">
      <c r="A34">
        <v>1056</v>
      </c>
      <c r="C34" t="s">
        <v>209</v>
      </c>
      <c r="D34" t="s">
        <v>463</v>
      </c>
      <c r="E34" s="59">
        <v>0.3</v>
      </c>
      <c r="F34" s="59">
        <v>0.4</v>
      </c>
      <c r="G34" s="59"/>
      <c r="H34" s="59"/>
      <c r="J34">
        <f>(L34-L34*H34)*10</f>
        <v>0</v>
      </c>
      <c r="K34">
        <f>1000*E34*F34</f>
        <v>120</v>
      </c>
      <c r="L34">
        <f>1000*E34*G34</f>
        <v>0</v>
      </c>
      <c r="M34" t="e">
        <f>K34/L34</f>
        <v>#DIV/0!</v>
      </c>
      <c r="N34">
        <f>L34*H34</f>
        <v>0</v>
      </c>
      <c r="O34" t="e">
        <f>K34/(L34-N34)</f>
        <v>#DIV/0!</v>
      </c>
      <c r="S34" t="e">
        <f>5.7686*POWER(F34/G34,-0.886)</f>
        <v>#DIV/0!</v>
      </c>
    </row>
    <row r="35" spans="1:21" x14ac:dyDescent="0.25">
      <c r="A35">
        <v>1057</v>
      </c>
      <c r="C35" t="s">
        <v>210</v>
      </c>
      <c r="D35" t="s">
        <v>464</v>
      </c>
      <c r="E35" s="59">
        <v>0.25</v>
      </c>
      <c r="F35" s="59">
        <v>0.4</v>
      </c>
      <c r="G35" s="59">
        <v>2.0119999999999999E-2</v>
      </c>
      <c r="H35" s="55">
        <f>1.6674*POWER(F35/G35,-0.768)</f>
        <v>0.16782011319353415</v>
      </c>
      <c r="I35">
        <v>40</v>
      </c>
      <c r="J35">
        <f>(L35-L35*H35)*10/$P$19*40</f>
        <v>33.415014201957767</v>
      </c>
      <c r="K35">
        <f>1000*E35*F35</f>
        <v>100</v>
      </c>
      <c r="L35">
        <f>1000*E35*G35</f>
        <v>5.0299999999999994</v>
      </c>
      <c r="M35">
        <f>K35/L35</f>
        <v>19.880715705765411</v>
      </c>
      <c r="N35">
        <f>L35*H35</f>
        <v>0.84413516936347666</v>
      </c>
      <c r="O35">
        <f>K35/(L35-N35)</f>
        <v>23.889925749177504</v>
      </c>
      <c r="R35">
        <v>0.25</v>
      </c>
      <c r="S35">
        <f>5.7686*POWER(F35/G35,-0.886)</f>
        <v>0.40799952773193454</v>
      </c>
    </row>
    <row r="36" spans="1:21" x14ac:dyDescent="0.25">
      <c r="A36">
        <v>1058</v>
      </c>
      <c r="C36" t="s">
        <v>211</v>
      </c>
      <c r="D36" t="s">
        <v>465</v>
      </c>
      <c r="E36" s="59">
        <v>0.35</v>
      </c>
      <c r="F36" s="59">
        <v>0.4</v>
      </c>
      <c r="G36" s="59">
        <v>3.4299999999999997E-2</v>
      </c>
      <c r="H36" s="55">
        <f>1.6674*POWER(F36/G36,-0.768)</f>
        <v>0.25279216421354622</v>
      </c>
      <c r="I36">
        <v>62</v>
      </c>
      <c r="J36">
        <f>(L36-L36*H36)*10/$P$19*40</f>
        <v>71.607750671696891</v>
      </c>
      <c r="K36">
        <f>1000*E36*F36</f>
        <v>140</v>
      </c>
      <c r="L36">
        <f>1000*E36*G36</f>
        <v>12.004999999999999</v>
      </c>
      <c r="M36">
        <f>K36/L36</f>
        <v>11.661807580174928</v>
      </c>
      <c r="N36">
        <f>L36*H36</f>
        <v>3.0347699313836221</v>
      </c>
      <c r="O36">
        <f>K36/(L36-N36)</f>
        <v>15.607180521468436</v>
      </c>
      <c r="R36">
        <v>0.1</v>
      </c>
      <c r="S36">
        <f>5.7686*POWER(F36/G36,-0.886)</f>
        <v>0.65450936298721896</v>
      </c>
    </row>
    <row r="37" spans="1:21" x14ac:dyDescent="0.25">
      <c r="A37">
        <v>1059</v>
      </c>
      <c r="C37" t="s">
        <v>195</v>
      </c>
      <c r="D37" t="s">
        <v>196</v>
      </c>
      <c r="E37" s="59"/>
      <c r="F37" s="59"/>
      <c r="G37" s="59"/>
      <c r="H37" s="59"/>
    </row>
    <row r="38" spans="1:21" x14ac:dyDescent="0.25">
      <c r="A38">
        <v>1060</v>
      </c>
      <c r="C38" t="s">
        <v>197</v>
      </c>
      <c r="D38" t="s">
        <v>198</v>
      </c>
      <c r="E38" s="58">
        <v>0.86</v>
      </c>
      <c r="F38" s="58">
        <v>0.46</v>
      </c>
      <c r="G38" s="56">
        <v>4.5999999999999999E-3</v>
      </c>
      <c r="H38" s="55">
        <f>1.6674*POWER(F38/G38,-0.768)</f>
        <v>4.8533297226642562E-2</v>
      </c>
      <c r="I38">
        <v>100</v>
      </c>
      <c r="J38">
        <f>(L38-L38*H38)*10/$P$19*40</f>
        <v>30.047360486636386</v>
      </c>
      <c r="K38">
        <f>1000*E38*F38</f>
        <v>395.6</v>
      </c>
      <c r="L38">
        <f>1000*E38*G38</f>
        <v>3.956</v>
      </c>
      <c r="M38">
        <f>K38/L38</f>
        <v>100</v>
      </c>
      <c r="N38">
        <f>L38*H38</f>
        <v>0.19199772382859798</v>
      </c>
      <c r="O38">
        <f>K38/(L38-N38)</f>
        <v>105.10089287256997</v>
      </c>
      <c r="Q38">
        <f>(K38*0.34)/$P$19*40</f>
        <v>107.37215013072174</v>
      </c>
      <c r="R38">
        <v>0</v>
      </c>
      <c r="S38">
        <f>5.7686*POWER(F38/G38,-0.886)</f>
        <v>9.7514775582773286E-2</v>
      </c>
      <c r="T38">
        <f>K38*S38</f>
        <v>38.576845220545117</v>
      </c>
      <c r="U38">
        <f>T38/P$19*40</f>
        <v>30.795209187756388</v>
      </c>
    </row>
    <row r="39" spans="1:21" x14ac:dyDescent="0.25">
      <c r="A39">
        <v>1061</v>
      </c>
      <c r="C39" t="s">
        <v>199</v>
      </c>
      <c r="D39" t="s">
        <v>200</v>
      </c>
      <c r="E39" s="58">
        <v>0.86</v>
      </c>
      <c r="F39" s="58">
        <v>0.46</v>
      </c>
      <c r="G39" s="56">
        <v>1.2E-2</v>
      </c>
      <c r="H39" s="55">
        <f>1.6674*POWER(F39/G39,-0.768)</f>
        <v>0.1013568206986246</v>
      </c>
      <c r="I39">
        <v>100</v>
      </c>
      <c r="J39">
        <f>(L39-L39*H39)*10/$P$19*40</f>
        <v>74.032672911940949</v>
      </c>
      <c r="K39">
        <f>1000*E39*F39</f>
        <v>395.6</v>
      </c>
      <c r="L39">
        <f>1000*E39*G39</f>
        <v>10.32</v>
      </c>
      <c r="M39">
        <f>K39/L39</f>
        <v>38.333333333333336</v>
      </c>
      <c r="N39">
        <f>L39*H39</f>
        <v>1.0460023896098058</v>
      </c>
      <c r="O39">
        <f>K39/(L39-N39)</f>
        <v>42.656901222056227</v>
      </c>
      <c r="Q39">
        <f>(K39*0.45)/$P$19*40</f>
        <v>142.11019870242583</v>
      </c>
      <c r="R39">
        <v>0</v>
      </c>
      <c r="S39">
        <f>5.7686*POWER(F39/G39,-0.886)</f>
        <v>0.22804553359752111</v>
      </c>
      <c r="T39">
        <f>K39*S39</f>
        <v>90.214813091179352</v>
      </c>
      <c r="U39">
        <f>T39/P$19*40</f>
        <v>72.016880206098776</v>
      </c>
    </row>
    <row r="40" spans="1:21" x14ac:dyDescent="0.25">
      <c r="A40">
        <v>1062</v>
      </c>
      <c r="C40" t="s">
        <v>213</v>
      </c>
      <c r="D40" t="s">
        <v>466</v>
      </c>
      <c r="E40" s="58">
        <v>0.86</v>
      </c>
      <c r="F40" s="58">
        <v>0.46</v>
      </c>
      <c r="G40" s="56">
        <v>4.5999999999999999E-3</v>
      </c>
      <c r="H40" s="55">
        <f>1.6674*POWER(F40/G40,-0.768)</f>
        <v>4.8533297226642562E-2</v>
      </c>
      <c r="I40">
        <v>39.56</v>
      </c>
      <c r="J40">
        <f>(L40-L40*H40)*10/$P$19*40</f>
        <v>30.047360486636386</v>
      </c>
      <c r="K40">
        <f>1000*E40*F40</f>
        <v>395.6</v>
      </c>
      <c r="L40">
        <f>1000*E40*G40</f>
        <v>3.956</v>
      </c>
      <c r="M40">
        <f>K40/L40</f>
        <v>100</v>
      </c>
      <c r="N40">
        <f>L40*H40</f>
        <v>0.19199772382859798</v>
      </c>
      <c r="O40">
        <f>K40/(L40-N40)</f>
        <v>105.10089287256997</v>
      </c>
      <c r="R40">
        <v>0</v>
      </c>
      <c r="S40">
        <f>5.7686*POWER(F40/G40,-0.886)</f>
        <v>9.7514775582773286E-2</v>
      </c>
    </row>
    <row r="41" spans="1:21" x14ac:dyDescent="0.25">
      <c r="A41">
        <v>1063</v>
      </c>
      <c r="C41" t="s">
        <v>214</v>
      </c>
      <c r="D41" t="s">
        <v>468</v>
      </c>
      <c r="E41" s="58">
        <v>0.86</v>
      </c>
      <c r="F41" s="58">
        <v>0.46</v>
      </c>
      <c r="G41" s="56">
        <v>0.01</v>
      </c>
      <c r="H41" s="55">
        <f>1.6674*POWER(F41/G41,-0.768)</f>
        <v>8.8113364068268293E-2</v>
      </c>
      <c r="I41">
        <v>86</v>
      </c>
      <c r="J41">
        <f>(L41-L41*H41)*10/$P$19*40</f>
        <v>62.603087452340574</v>
      </c>
      <c r="K41">
        <f>1000*E41*F41</f>
        <v>395.6</v>
      </c>
      <c r="L41">
        <f>1000*E41*G41</f>
        <v>8.6</v>
      </c>
      <c r="M41">
        <f>K41/L41</f>
        <v>46.000000000000007</v>
      </c>
      <c r="N41">
        <f>L41*H41</f>
        <v>0.75777493098710724</v>
      </c>
      <c r="O41">
        <f>K41/(L41-N41)</f>
        <v>50.444866924712549</v>
      </c>
      <c r="R41">
        <v>0</v>
      </c>
      <c r="S41">
        <f>5.7686*POWER(F41/G41,-0.886)</f>
        <v>0.19402915251252034</v>
      </c>
    </row>
    <row r="42" spans="1:21" x14ac:dyDescent="0.25">
      <c r="A42">
        <v>1064</v>
      </c>
      <c r="E42" s="59"/>
      <c r="F42" s="59"/>
      <c r="G42" s="59"/>
      <c r="H42" s="59"/>
    </row>
    <row r="43" spans="1:21" x14ac:dyDescent="0.25">
      <c r="A43">
        <v>1065</v>
      </c>
      <c r="C43" t="s">
        <v>231</v>
      </c>
      <c r="D43" t="s">
        <v>469</v>
      </c>
      <c r="E43" s="59">
        <v>0.39950000000000002</v>
      </c>
      <c r="F43" s="59">
        <v>0.28399999999999997</v>
      </c>
      <c r="G43" s="59">
        <v>2.8900000000000002E-2</v>
      </c>
      <c r="H43" s="59">
        <v>0.15139250865615567</v>
      </c>
    </row>
    <row r="44" spans="1:21" x14ac:dyDescent="0.25">
      <c r="A44">
        <v>1066</v>
      </c>
      <c r="C44" t="s">
        <v>233</v>
      </c>
      <c r="D44" t="s">
        <v>470</v>
      </c>
      <c r="E44" s="59">
        <v>0.93900000000000006</v>
      </c>
      <c r="F44" s="59">
        <v>0.46799999999999997</v>
      </c>
      <c r="G44" s="59">
        <v>7.1999999999999998E-3</v>
      </c>
      <c r="H44" s="59">
        <v>6.1827002721571407E-3</v>
      </c>
    </row>
    <row r="45" spans="1:21" x14ac:dyDescent="0.25">
      <c r="A45">
        <v>1067</v>
      </c>
      <c r="C45" t="s">
        <v>234</v>
      </c>
      <c r="D45" t="s">
        <v>471</v>
      </c>
      <c r="E45" s="59">
        <v>0.22550000000000001</v>
      </c>
      <c r="F45" s="59">
        <v>0.42700000000000005</v>
      </c>
      <c r="G45" s="59">
        <v>2.0250000000000001E-2</v>
      </c>
      <c r="H45" s="59">
        <v>0.10074276750473493</v>
      </c>
    </row>
    <row r="46" spans="1:21" x14ac:dyDescent="0.25">
      <c r="A46">
        <v>1068</v>
      </c>
      <c r="C46" t="s">
        <v>232</v>
      </c>
      <c r="D46" t="s">
        <v>472</v>
      </c>
      <c r="E46" s="59">
        <v>0.159</v>
      </c>
      <c r="F46" s="59">
        <v>0.42</v>
      </c>
      <c r="G46" s="59">
        <v>2.3799999999999998E-2</v>
      </c>
      <c r="H46" s="59">
        <v>0.14084879234712755</v>
      </c>
      <c r="I46">
        <v>33</v>
      </c>
    </row>
    <row r="47" spans="1:21" x14ac:dyDescent="0.25">
      <c r="A47">
        <v>1069</v>
      </c>
      <c r="E47" s="59"/>
      <c r="F47" s="59"/>
      <c r="G47" s="59"/>
      <c r="H47" s="59"/>
    </row>
    <row r="48" spans="1:21" x14ac:dyDescent="0.25">
      <c r="A48">
        <v>1070</v>
      </c>
      <c r="C48" t="s">
        <v>201</v>
      </c>
      <c r="D48" t="s">
        <v>202</v>
      </c>
      <c r="E48" s="58">
        <v>1</v>
      </c>
      <c r="F48" s="58">
        <v>0</v>
      </c>
      <c r="G48" s="56">
        <v>1</v>
      </c>
      <c r="H48" s="55">
        <v>1</v>
      </c>
      <c r="R48">
        <v>1</v>
      </c>
    </row>
    <row r="49" spans="1:18" x14ac:dyDescent="0.25">
      <c r="A49">
        <v>1071</v>
      </c>
      <c r="C49" t="s">
        <v>203</v>
      </c>
      <c r="D49" t="s">
        <v>204</v>
      </c>
      <c r="E49" s="55">
        <v>0.95</v>
      </c>
      <c r="F49" s="55">
        <v>0.45</v>
      </c>
      <c r="G49" s="55">
        <v>0.14000000000000001</v>
      </c>
      <c r="H49" s="55">
        <f>1.6674*POWER(F49/G49,-0.768)</f>
        <v>0.68014094107309442</v>
      </c>
      <c r="R49">
        <v>0.6</v>
      </c>
    </row>
    <row r="50" spans="1:18" x14ac:dyDescent="0.25">
      <c r="A50">
        <v>1072</v>
      </c>
      <c r="C50" t="s">
        <v>205</v>
      </c>
      <c r="D50" t="s">
        <v>206</v>
      </c>
      <c r="E50" s="55">
        <v>0.02</v>
      </c>
      <c r="F50" s="55">
        <v>0.03</v>
      </c>
      <c r="G50" s="55">
        <v>0.2</v>
      </c>
      <c r="H50" s="55">
        <f>1.6674*POWER(F50/G50,-0.768)</f>
        <v>7.1581650871647682</v>
      </c>
      <c r="R50">
        <v>0.95</v>
      </c>
    </row>
    <row r="51" spans="1:18" x14ac:dyDescent="0.25">
      <c r="A51">
        <v>1073</v>
      </c>
      <c r="E51" s="59"/>
      <c r="F51" s="59"/>
      <c r="G51" s="59"/>
      <c r="H51" s="59"/>
    </row>
    <row r="52" spans="1:18" x14ac:dyDescent="0.25">
      <c r="A52">
        <v>1074</v>
      </c>
      <c r="E52" s="59"/>
      <c r="F52" s="59"/>
      <c r="G52" s="59"/>
      <c r="H52" s="59"/>
    </row>
    <row r="53" spans="1:18" x14ac:dyDescent="0.25">
      <c r="A53">
        <v>1075</v>
      </c>
      <c r="E53" s="59"/>
      <c r="F53" s="59"/>
      <c r="G53" s="59"/>
      <c r="H53" s="59"/>
    </row>
    <row r="54" spans="1:18" x14ac:dyDescent="0.25">
      <c r="A54">
        <v>1076</v>
      </c>
      <c r="E54" s="59"/>
      <c r="F54" s="59"/>
      <c r="G54" s="59"/>
      <c r="H54" s="59"/>
    </row>
    <row r="55" spans="1:18" x14ac:dyDescent="0.25">
      <c r="A55">
        <v>1077</v>
      </c>
      <c r="E55" s="59"/>
      <c r="F55" s="59"/>
      <c r="G55" s="59"/>
      <c r="H55" s="59"/>
    </row>
    <row r="56" spans="1:18" x14ac:dyDescent="0.25">
      <c r="A56">
        <v>1078</v>
      </c>
      <c r="E56" s="59"/>
      <c r="F56" s="59"/>
      <c r="G56" s="59"/>
      <c r="H56" s="59"/>
    </row>
    <row r="57" spans="1:18" x14ac:dyDescent="0.25">
      <c r="A57">
        <v>1079</v>
      </c>
      <c r="E57" s="59"/>
      <c r="F57" s="59"/>
      <c r="G57" s="59"/>
      <c r="H57" s="59"/>
    </row>
    <row r="58" spans="1:18" x14ac:dyDescent="0.25">
      <c r="A58">
        <v>1080</v>
      </c>
      <c r="C58" t="s">
        <v>193</v>
      </c>
      <c r="D58" t="s">
        <v>194</v>
      </c>
      <c r="E58" s="58">
        <v>0.2</v>
      </c>
      <c r="F58" s="58">
        <v>0.46</v>
      </c>
      <c r="G58" s="56">
        <v>0.03</v>
      </c>
      <c r="H58" s="55">
        <v>0.25</v>
      </c>
      <c r="I58">
        <v>1.6</v>
      </c>
      <c r="R58">
        <v>0.25</v>
      </c>
    </row>
  </sheetData>
  <pageMargins left="0.7" right="0.7" top="0.78749999999999998" bottom="0.78749999999999998" header="0.51180555555555496" footer="0.51180555555555496"/>
  <pageSetup paperSize="9" firstPageNumber="0" orientation="portrait" horizontalDpi="0"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HU-MOD-2_Explanations</vt:lpstr>
      <vt:lpstr>HU-MOD-2_Input data</vt:lpstr>
      <vt:lpstr>HU-MOD-2-Parameters_CROP</vt:lpstr>
      <vt:lpstr>HU-MOD-2-Parameters_FTLZ</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CBrock</dc:creator>
  <cp:lastModifiedBy>Gokul Prasad Mathivanan</cp:lastModifiedBy>
  <cp:revision>0</cp:revision>
  <cp:lastPrinted>2016-02-29T10:39:26Z</cp:lastPrinted>
  <dcterms:created xsi:type="dcterms:W3CDTF">2012-05-16T12:00:56Z</dcterms:created>
  <dcterms:modified xsi:type="dcterms:W3CDTF">2026-03-18T18:57:53Z</dcterms:modified>
  <dc:language>de-DE</dc:language>
</cp:coreProperties>
</file>